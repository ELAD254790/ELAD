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📅 סיכום חודשי" sheetId="2" state="visible" r:id="rId2"/>
    <sheet name="💸 הוצאות יומיות" sheetId="3" state="visible" r:id="rId3"/>
    <sheet name="📋 הוצאות קבועות" sheetId="4" state="visible" r:id="rId4"/>
    <sheet name="🎯 תקציב" sheetId="5" state="visible" r:id="rId5"/>
    <sheet name="📈 ניתוח" sheetId="6" state="visible" r:id="rId6"/>
    <sheet name="📄 תלושי שכר" sheetId="7" state="visible" r:id="rId7"/>
    <sheet name="🗓️ תכנון חודש הב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₪#,##0"/>
    <numFmt numFmtId="165" formatCode="0.0%"/>
    <numFmt numFmtId="166" formatCode="₪#,##0.0"/>
  </numFmts>
  <fonts count="36">
    <font>
      <name val="Calibri"/>
      <family val="2"/>
      <color theme="1"/>
      <sz val="11"/>
      <scheme val="minor"/>
    </font>
    <font>
      <name val="Calibri"/>
      <b val="1"/>
      <color rgb="00F1C40F"/>
      <sz val="20"/>
    </font>
    <font>
      <name val="Calibri"/>
      <color rgb="00BDC3C7"/>
      <sz val="10"/>
    </font>
    <font>
      <name val="Calibri"/>
      <b val="1"/>
      <color rgb="00FFFFFF"/>
      <sz val="10"/>
    </font>
    <font>
      <name val="Calibri"/>
      <b val="1"/>
      <color rgb="00FFFFFF"/>
      <sz val="18"/>
    </font>
    <font>
      <name val="Calibri"/>
      <b val="1"/>
      <color rgb="00F1C40F"/>
      <sz val="12"/>
    </font>
    <font>
      <name val="Calibri"/>
      <b val="1"/>
      <color rgb="00FFFFFF"/>
      <sz val="22"/>
    </font>
    <font>
      <name val="Calibri"/>
      <color rgb="00BDC3C7"/>
      <sz val="9"/>
    </font>
    <font>
      <name val="Calibri"/>
      <b val="1"/>
      <color rgb="00FFFFFF"/>
      <sz val="12"/>
    </font>
    <font>
      <name val="Calibri"/>
      <color rgb="00ECF0F1"/>
      <sz val="10"/>
    </font>
    <font>
      <name val="Calibri"/>
      <b val="1"/>
      <color rgb="00F1C40F"/>
      <sz val="16"/>
    </font>
    <font>
      <name val="Calibri"/>
      <color rgb="00FFFFFF"/>
      <sz val="11"/>
    </font>
    <font>
      <name val="Calibri"/>
      <color rgb="0027AE60"/>
      <sz val="11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27AE60"/>
      <sz val="12"/>
    </font>
    <font>
      <name val="Calibri"/>
      <b val="1"/>
      <color rgb="0027AE60"/>
      <sz val="11"/>
    </font>
    <font>
      <name val="Calibri"/>
      <b val="1"/>
      <color rgb="00FFFFFF"/>
      <sz val="16"/>
    </font>
    <font>
      <name val="Calibri"/>
      <b val="1"/>
      <color rgb="00E74C3C"/>
      <sz val="12"/>
    </font>
    <font>
      <name val="Calibri"/>
      <color rgb="00E67E22"/>
      <sz val="11"/>
    </font>
    <font>
      <name val="Calibri"/>
      <b val="1"/>
      <color rgb="00E74C3C"/>
      <sz val="11"/>
    </font>
    <font>
      <name val="Calibri"/>
      <color rgb="00F39C12"/>
      <sz val="11"/>
    </font>
    <font>
      <name val="Calibri"/>
      <b val="1"/>
      <color rgb="00E67E22"/>
      <sz val="12"/>
    </font>
    <font>
      <name val="Calibri"/>
      <b val="1"/>
      <color rgb="002980B9"/>
      <sz val="12"/>
    </font>
    <font>
      <name val="Calibri"/>
      <color rgb="002980B9"/>
      <sz val="11"/>
    </font>
    <font>
      <name val="Calibri"/>
      <color rgb="00E74C3C"/>
      <sz val="11"/>
    </font>
    <font>
      <name val="Calibri"/>
      <b val="1"/>
      <color rgb="008E44AD"/>
      <sz val="12"/>
    </font>
    <font>
      <name val="Calibri"/>
      <b val="1"/>
      <color rgb="002980B9"/>
      <sz val="11"/>
    </font>
    <font>
      <name val="Calibri"/>
      <b val="1"/>
      <color rgb="00E67E22"/>
      <sz val="11"/>
    </font>
    <font>
      <name val="Calibri"/>
      <b val="1"/>
      <color rgb="008E44AD"/>
      <sz val="11"/>
    </font>
    <font>
      <name val="Calibri"/>
      <b val="1"/>
      <color rgb="0017A589"/>
      <sz val="11"/>
    </font>
    <font>
      <name val="Calibri"/>
      <b val="1"/>
      <color rgb="00F39C12"/>
      <sz val="11"/>
    </font>
    <font>
      <name val="Calibri"/>
      <b val="1"/>
      <color rgb="000F3460"/>
      <sz val="11"/>
    </font>
    <font>
      <name val="Calibri"/>
      <b val="1"/>
      <color rgb="0017A589"/>
      <sz val="12"/>
    </font>
    <font>
      <name val="Calibri"/>
      <color rgb="00ECF0F1"/>
      <sz val="11"/>
    </font>
    <font>
      <name val="Calibri"/>
      <b val="1"/>
      <color rgb="001A1A2E"/>
      <sz val="13"/>
    </font>
  </fonts>
  <fills count="2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16213E"/>
      </patternFill>
    </fill>
    <fill>
      <patternFill patternType="solid">
        <fgColor rgb="00F39C12"/>
      </patternFill>
    </fill>
    <fill>
      <patternFill patternType="solid">
        <fgColor rgb="000D2137"/>
      </patternFill>
    </fill>
    <fill>
      <patternFill patternType="solid">
        <fgColor rgb="000A1929"/>
      </patternFill>
    </fill>
    <fill>
      <patternFill patternType="solid">
        <fgColor rgb="00071A0D"/>
      </patternFill>
    </fill>
    <fill>
      <patternFill patternType="solid">
        <fgColor rgb="00051409"/>
      </patternFill>
    </fill>
    <fill>
      <patternFill patternType="solid">
        <fgColor rgb="00200A0A"/>
      </patternFill>
    </fill>
    <fill>
      <patternFill patternType="solid">
        <fgColor rgb="00180707"/>
      </patternFill>
    </fill>
    <fill>
      <patternFill patternType="solid">
        <fgColor rgb="00E67E22"/>
      </patternFill>
    </fill>
    <fill>
      <patternFill patternType="solid">
        <fgColor rgb="001A1000"/>
      </patternFill>
    </fill>
    <fill>
      <patternFill patternType="solid">
        <fgColor rgb="00130D00"/>
      </patternFill>
    </fill>
    <fill>
      <patternFill patternType="solid">
        <fgColor rgb="00000D1A"/>
      </patternFill>
    </fill>
    <fill>
      <patternFill patternType="solid">
        <fgColor rgb="00000B15"/>
      </patternFill>
    </fill>
    <fill>
      <patternFill patternType="solid">
        <fgColor rgb="000A001A"/>
      </patternFill>
    </fill>
    <fill>
      <patternFill patternType="solid">
        <fgColor rgb="00070014"/>
      </patternFill>
    </fill>
    <fill>
      <patternFill patternType="solid">
        <fgColor rgb="0017A589"/>
      </patternFill>
    </fill>
    <fill>
      <patternFill patternType="solid">
        <fgColor rgb="00F1C40F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 readingOrder="2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 readingOrder="2"/>
    </xf>
    <xf numFmtId="0" fontId="3" fillId="4" borderId="0" applyAlignment="1" pivotButton="0" quotePrefix="0" xfId="0">
      <alignment horizontal="center" vertical="center" wrapText="1" readingOrder="2"/>
    </xf>
    <xf numFmtId="0" fontId="3" fillId="5" borderId="0" applyAlignment="1" pivotButton="0" quotePrefix="0" xfId="0">
      <alignment horizontal="center" vertical="center" wrapText="1" readingOrder="2"/>
    </xf>
    <xf numFmtId="0" fontId="3" fillId="6" borderId="0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4" fillId="4" borderId="0" applyAlignment="1" pivotButton="0" quotePrefix="0" xfId="0">
      <alignment horizontal="center" vertical="center" wrapText="1" readingOrder="2"/>
    </xf>
    <xf numFmtId="0" fontId="4" fillId="5" borderId="0" applyAlignment="1" pivotButton="0" quotePrefix="0" xfId="0">
      <alignment horizontal="center" vertical="center" wrapText="1" readingOrder="2"/>
    </xf>
    <xf numFmtId="0" fontId="4" fillId="6" borderId="0" applyAlignment="1" pivotButton="0" quotePrefix="0" xfId="0">
      <alignment horizontal="center" vertical="center" wrapText="1" readingOrder="2"/>
    </xf>
    <xf numFmtId="0" fontId="4" fillId="7" borderId="0" applyAlignment="1" pivotButton="0" quotePrefix="0" xfId="0">
      <alignment horizontal="center" vertical="center" wrapText="1" readingOrder="2"/>
    </xf>
    <xf numFmtId="0" fontId="5" fillId="8" borderId="0" applyAlignment="1" pivotButton="0" quotePrefix="0" xfId="0">
      <alignment horizontal="center" vertical="center" wrapText="1" readingOrder="2"/>
    </xf>
    <xf numFmtId="0" fontId="6" fillId="9" borderId="0" applyAlignment="1" pivotButton="0" quotePrefix="0" xfId="0">
      <alignment horizontal="center" vertical="center" wrapText="1" readingOrder="2"/>
    </xf>
    <xf numFmtId="0" fontId="2" fillId="8" borderId="0" applyAlignment="1" pivotButton="0" quotePrefix="0" xfId="0">
      <alignment horizontal="center" vertical="center" wrapText="1" readingOrder="2"/>
    </xf>
    <xf numFmtId="0" fontId="7" fillId="8" borderId="0" applyAlignment="1" pivotButton="0" quotePrefix="0" xfId="0">
      <alignment horizontal="center" vertical="center" wrapText="1" readingOrder="2"/>
    </xf>
    <xf numFmtId="0" fontId="8" fillId="4" borderId="0" applyAlignment="1" pivotButton="0" quotePrefix="0" xfId="0">
      <alignment horizontal="center" vertical="center" wrapText="1" readingOrder="2"/>
    </xf>
    <xf numFmtId="0" fontId="8" fillId="5" borderId="0" applyAlignment="1" pivotButton="0" quotePrefix="0" xfId="0">
      <alignment horizontal="center" vertical="center" wrapText="1" readingOrder="2"/>
    </xf>
    <xf numFmtId="0" fontId="8" fillId="9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9" fillId="10" borderId="0" applyAlignment="1" pivotButton="0" quotePrefix="0" xfId="0">
      <alignment horizontal="right" vertical="center" wrapText="1" readingOrder="2"/>
    </xf>
    <xf numFmtId="0" fontId="9" fillId="11" borderId="0" applyAlignment="1" pivotButton="0" quotePrefix="0" xfId="0">
      <alignment horizontal="right" vertical="center" wrapText="1" readingOrder="2"/>
    </xf>
    <xf numFmtId="0" fontId="10" fillId="3" borderId="0" applyAlignment="1" pivotButton="0" quotePrefix="0" xfId="0">
      <alignment horizontal="center" vertical="center" wrapText="1" readingOrder="2"/>
    </xf>
    <xf numFmtId="0" fontId="5" fillId="8" borderId="1" applyAlignment="1" pivotButton="0" quotePrefix="0" xfId="0">
      <alignment horizontal="center" vertical="center" wrapText="1" readingOrder="2"/>
    </xf>
    <xf numFmtId="0" fontId="11" fillId="10" borderId="1" applyAlignment="1" pivotButton="0" quotePrefix="0" xfId="0">
      <alignment horizontal="center" vertical="center" wrapText="1" readingOrder="2"/>
    </xf>
    <xf numFmtId="164" fontId="11" fillId="10" borderId="1" applyAlignment="1" pivotButton="0" quotePrefix="0" xfId="0">
      <alignment horizontal="center" vertical="center" wrapText="1" readingOrder="2"/>
    </xf>
    <xf numFmtId="164" fontId="12" fillId="10" borderId="1" applyAlignment="1" pivotButton="0" quotePrefix="0" xfId="0">
      <alignment horizontal="center" vertical="center" wrapText="1" readingOrder="2"/>
    </xf>
    <xf numFmtId="165" fontId="11" fillId="10" borderId="1" applyAlignment="1" pivotButton="0" quotePrefix="0" xfId="0">
      <alignment horizontal="center" vertical="center" wrapText="1" readingOrder="2"/>
    </xf>
    <xf numFmtId="0" fontId="13" fillId="9" borderId="1" applyAlignment="1" pivotButton="0" quotePrefix="0" xfId="0">
      <alignment horizontal="center" vertical="center" wrapText="1" readingOrder="2"/>
    </xf>
    <xf numFmtId="0" fontId="14" fillId="4" borderId="0" applyAlignment="1" pivotButton="0" quotePrefix="0" xfId="0">
      <alignment horizontal="center" vertical="center" wrapText="1" readingOrder="2"/>
    </xf>
    <xf numFmtId="0" fontId="15" fillId="8" borderId="1" applyAlignment="1" pivotButton="0" quotePrefix="0" xfId="0">
      <alignment horizontal="center" vertical="center" wrapText="1" readingOrder="2"/>
    </xf>
    <xf numFmtId="0" fontId="11" fillId="12" borderId="1" applyAlignment="1" pivotButton="0" quotePrefix="0" xfId="0">
      <alignment horizontal="center" vertical="center" wrapText="1" readingOrder="2"/>
    </xf>
    <xf numFmtId="164" fontId="16" fillId="12" borderId="1" applyAlignment="1" pivotButton="0" quotePrefix="0" xfId="0">
      <alignment horizontal="center" vertical="center" wrapText="1" readingOrder="2"/>
    </xf>
    <xf numFmtId="164" fontId="11" fillId="12" borderId="1" applyAlignment="1" pivotButton="0" quotePrefix="0" xfId="0">
      <alignment horizontal="center" vertical="center" wrapText="1" readingOrder="2"/>
    </xf>
    <xf numFmtId="0" fontId="11" fillId="13" borderId="1" applyAlignment="1" pivotButton="0" quotePrefix="0" xfId="0">
      <alignment horizontal="center" vertical="center" wrapText="1" readingOrder="2"/>
    </xf>
    <xf numFmtId="164" fontId="16" fillId="13" borderId="1" applyAlignment="1" pivotButton="0" quotePrefix="0" xfId="0">
      <alignment horizontal="center" vertical="center" wrapText="1" readingOrder="2"/>
    </xf>
    <xf numFmtId="164" fontId="11" fillId="13" borderId="1" applyAlignment="1" pivotButton="0" quotePrefix="0" xfId="0">
      <alignment horizontal="center" vertical="center" wrapText="1" readingOrder="2"/>
    </xf>
    <xf numFmtId="0" fontId="17" fillId="5" borderId="0" applyAlignment="1" pivotButton="0" quotePrefix="0" xfId="0">
      <alignment horizontal="center" vertical="center" wrapText="1" readingOrder="2"/>
    </xf>
    <xf numFmtId="0" fontId="18" fillId="8" borderId="1" applyAlignment="1" pivotButton="0" quotePrefix="0" xfId="0">
      <alignment horizontal="center" vertical="center" wrapText="1" readingOrder="2"/>
    </xf>
    <xf numFmtId="0" fontId="11" fillId="14" borderId="1" applyAlignment="1" pivotButton="0" quotePrefix="0" xfId="0">
      <alignment horizontal="center" vertical="center" wrapText="1" readingOrder="2"/>
    </xf>
    <xf numFmtId="0" fontId="19" fillId="14" borderId="1" applyAlignment="1" pivotButton="0" quotePrefix="0" xfId="0">
      <alignment horizontal="center" vertical="center" wrapText="1" readingOrder="2"/>
    </xf>
    <xf numFmtId="164" fontId="20" fillId="14" borderId="1" applyAlignment="1" pivotButton="0" quotePrefix="0" xfId="0">
      <alignment horizontal="center" vertical="center" wrapText="1" readingOrder="2"/>
    </xf>
    <xf numFmtId="0" fontId="21" fillId="14" borderId="1" applyAlignment="1" pivotButton="0" quotePrefix="0" xfId="0">
      <alignment horizontal="center" vertical="center" wrapText="1" readingOrder="2"/>
    </xf>
    <xf numFmtId="0" fontId="11" fillId="15" borderId="1" applyAlignment="1" pivotButton="0" quotePrefix="0" xfId="0">
      <alignment horizontal="center" vertical="center" wrapText="1" readingOrder="2"/>
    </xf>
    <xf numFmtId="0" fontId="19" fillId="15" borderId="1" applyAlignment="1" pivotButton="0" quotePrefix="0" xfId="0">
      <alignment horizontal="center" vertical="center" wrapText="1" readingOrder="2"/>
    </xf>
    <xf numFmtId="164" fontId="20" fillId="15" borderId="1" applyAlignment="1" pivotButton="0" quotePrefix="0" xfId="0">
      <alignment horizontal="center" vertical="center" wrapText="1" readingOrder="2"/>
    </xf>
    <xf numFmtId="0" fontId="21" fillId="15" borderId="1" applyAlignment="1" pivotButton="0" quotePrefix="0" xfId="0">
      <alignment horizontal="center" vertical="center" wrapText="1" readingOrder="2"/>
    </xf>
    <xf numFmtId="0" fontId="12" fillId="15" borderId="1" applyAlignment="1" pivotButton="0" quotePrefix="0" xfId="0">
      <alignment horizontal="center" vertical="center" wrapText="1" readingOrder="2"/>
    </xf>
    <xf numFmtId="0" fontId="12" fillId="14" borderId="1" applyAlignment="1" pivotButton="0" quotePrefix="0" xfId="0">
      <alignment horizontal="center" vertical="center" wrapText="1" readingOrder="2"/>
    </xf>
    <xf numFmtId="0" fontId="17" fillId="16" borderId="0" applyAlignment="1" pivotButton="0" quotePrefix="0" xfId="0">
      <alignment horizontal="center" vertical="center" wrapText="1" readingOrder="2"/>
    </xf>
    <xf numFmtId="0" fontId="22" fillId="8" borderId="1" applyAlignment="1" pivotButton="0" quotePrefix="0" xfId="0">
      <alignment horizontal="center" vertical="center" wrapText="1" readingOrder="2"/>
    </xf>
    <xf numFmtId="0" fontId="13" fillId="17" borderId="1" applyAlignment="1" pivotButton="0" quotePrefix="0" xfId="0">
      <alignment horizontal="center" vertical="center" wrapText="1" readingOrder="2"/>
    </xf>
    <xf numFmtId="0" fontId="19" fillId="17" borderId="1" applyAlignment="1" pivotButton="0" quotePrefix="0" xfId="0">
      <alignment horizontal="center" vertical="center" wrapText="1" readingOrder="2"/>
    </xf>
    <xf numFmtId="164" fontId="20" fillId="17" borderId="1" applyAlignment="1" pivotButton="0" quotePrefix="0" xfId="0">
      <alignment horizontal="center" vertical="center" wrapText="1" readingOrder="2"/>
    </xf>
    <xf numFmtId="0" fontId="11" fillId="17" borderId="1" applyAlignment="1" pivotButton="0" quotePrefix="0" xfId="0">
      <alignment horizontal="center" vertical="center" wrapText="1" readingOrder="2"/>
    </xf>
    <xf numFmtId="0" fontId="13" fillId="18" borderId="1" applyAlignment="1" pivotButton="0" quotePrefix="0" xfId="0">
      <alignment horizontal="center" vertical="center" wrapText="1" readingOrder="2"/>
    </xf>
    <xf numFmtId="0" fontId="19" fillId="18" borderId="1" applyAlignment="1" pivotButton="0" quotePrefix="0" xfId="0">
      <alignment horizontal="center" vertical="center" wrapText="1" readingOrder="2"/>
    </xf>
    <xf numFmtId="164" fontId="20" fillId="18" borderId="1" applyAlignment="1" pivotButton="0" quotePrefix="0" xfId="0">
      <alignment horizontal="center" vertical="center" wrapText="1" readingOrder="2"/>
    </xf>
    <xf numFmtId="0" fontId="11" fillId="18" borderId="1" applyAlignment="1" pivotButton="0" quotePrefix="0" xfId="0">
      <alignment horizontal="center" vertical="center" wrapText="1" readingOrder="2"/>
    </xf>
    <xf numFmtId="0" fontId="14" fillId="16" borderId="1" applyAlignment="1" pivotButton="0" quotePrefix="0" xfId="0">
      <alignment horizontal="center" vertical="center" wrapText="1" readingOrder="2"/>
    </xf>
    <xf numFmtId="164" fontId="14" fillId="5" borderId="1" applyAlignment="1" pivotButton="0" quotePrefix="0" xfId="0">
      <alignment horizontal="center" vertical="center" wrapText="1" readingOrder="2"/>
    </xf>
    <xf numFmtId="0" fontId="17" fillId="6" borderId="0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0" fontId="13" fillId="19" borderId="1" applyAlignment="1" pivotButton="0" quotePrefix="0" xfId="0">
      <alignment horizontal="center" vertical="center" wrapText="1" readingOrder="2"/>
    </xf>
    <xf numFmtId="164" fontId="24" fillId="19" borderId="1" applyAlignment="1" pivotButton="0" quotePrefix="0" xfId="0">
      <alignment horizontal="center" vertical="center" wrapText="1" readingOrder="2"/>
    </xf>
    <xf numFmtId="164" fontId="25" fillId="19" borderId="1" applyAlignment="1" pivotButton="0" quotePrefix="0" xfId="0">
      <alignment horizontal="center" vertical="center" wrapText="1" readingOrder="2"/>
    </xf>
    <xf numFmtId="164" fontId="20" fillId="19" borderId="1" applyAlignment="1" pivotButton="0" quotePrefix="0" xfId="0">
      <alignment horizontal="center" vertical="center" wrapText="1" readingOrder="2"/>
    </xf>
    <xf numFmtId="9" fontId="11" fillId="19" borderId="1" applyAlignment="1" pivotButton="0" quotePrefix="0" xfId="0">
      <alignment horizontal="center" vertical="center" wrapText="1" readingOrder="2"/>
    </xf>
    <xf numFmtId="0" fontId="13" fillId="20" borderId="1" applyAlignment="1" pivotButton="0" quotePrefix="0" xfId="0">
      <alignment horizontal="center" vertical="center" wrapText="1" readingOrder="2"/>
    </xf>
    <xf numFmtId="164" fontId="24" fillId="20" borderId="1" applyAlignment="1" pivotButton="0" quotePrefix="0" xfId="0">
      <alignment horizontal="center" vertical="center" wrapText="1" readingOrder="2"/>
    </xf>
    <xf numFmtId="164" fontId="25" fillId="20" borderId="1" applyAlignment="1" pivotButton="0" quotePrefix="0" xfId="0">
      <alignment horizontal="center" vertical="center" wrapText="1" readingOrder="2"/>
    </xf>
    <xf numFmtId="164" fontId="20" fillId="20" borderId="1" applyAlignment="1" pivotButton="0" quotePrefix="0" xfId="0">
      <alignment horizontal="center" vertical="center" wrapText="1" readingOrder="2"/>
    </xf>
    <xf numFmtId="9" fontId="11" fillId="20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164" fontId="12" fillId="19" borderId="1" applyAlignment="1" pivotButton="0" quotePrefix="0" xfId="0">
      <alignment horizontal="center" vertical="center" wrapText="1" readingOrder="2"/>
    </xf>
    <xf numFmtId="164" fontId="16" fillId="19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12" fillId="20" borderId="1" applyAlignment="1" pivotButton="0" quotePrefix="0" xfId="0">
      <alignment horizontal="center" vertical="center" wrapText="1" readingOrder="2"/>
    </xf>
    <xf numFmtId="164" fontId="16" fillId="20" borderId="1" applyAlignment="1" pivotButton="0" quotePrefix="0" xfId="0">
      <alignment horizontal="center" vertical="center" wrapText="1" readingOrder="2"/>
    </xf>
    <xf numFmtId="0" fontId="17" fillId="7" borderId="0" applyAlignment="1" pivotButton="0" quotePrefix="0" xfId="0">
      <alignment horizontal="center" vertical="center" wrapText="1" readingOrder="2"/>
    </xf>
    <xf numFmtId="0" fontId="26" fillId="8" borderId="1" applyAlignment="1" pivotButton="0" quotePrefix="0" xfId="0">
      <alignment horizontal="center" vertical="center" wrapText="1" readingOrder="2"/>
    </xf>
    <xf numFmtId="0" fontId="13" fillId="21" borderId="1" applyAlignment="1" pivotButton="0" quotePrefix="0" xfId="0">
      <alignment horizontal="center" vertical="center" wrapText="1" readingOrder="2"/>
    </xf>
    <xf numFmtId="164" fontId="16" fillId="21" borderId="1" applyAlignment="1" pivotButton="0" quotePrefix="0" xfId="0">
      <alignment horizontal="center" vertical="center" wrapText="1" readingOrder="2"/>
    </xf>
    <xf numFmtId="165" fontId="11" fillId="21" borderId="1" applyAlignment="1" pivotButton="0" quotePrefix="0" xfId="0">
      <alignment horizontal="center" vertical="center" wrapText="1" readingOrder="2"/>
    </xf>
    <xf numFmtId="166" fontId="11" fillId="21" borderId="1" applyAlignment="1" pivotButton="0" quotePrefix="0" xfId="0">
      <alignment horizontal="center" vertical="center" wrapText="1" readingOrder="2"/>
    </xf>
    <xf numFmtId="0" fontId="11" fillId="21" borderId="1" applyAlignment="1" pivotButton="0" quotePrefix="0" xfId="0">
      <alignment horizontal="center" vertical="center" wrapText="1" readingOrder="2"/>
    </xf>
    <xf numFmtId="164" fontId="11" fillId="21" borderId="1" applyAlignment="1" pivotButton="0" quotePrefix="0" xfId="0">
      <alignment horizontal="center" vertical="center" wrapText="1" readingOrder="2"/>
    </xf>
    <xf numFmtId="0" fontId="13" fillId="22" borderId="1" applyAlignment="1" pivotButton="0" quotePrefix="0" xfId="0">
      <alignment horizontal="center" vertical="center" wrapText="1" readingOrder="2"/>
    </xf>
    <xf numFmtId="164" fontId="27" fillId="22" borderId="1" applyAlignment="1" pivotButton="0" quotePrefix="0" xfId="0">
      <alignment horizontal="center" vertical="center" wrapText="1" readingOrder="2"/>
    </xf>
    <xf numFmtId="165" fontId="11" fillId="22" borderId="1" applyAlignment="1" pivotButton="0" quotePrefix="0" xfId="0">
      <alignment horizontal="center" vertical="center" wrapText="1" readingOrder="2"/>
    </xf>
    <xf numFmtId="166" fontId="11" fillId="22" borderId="1" applyAlignment="1" pivotButton="0" quotePrefix="0" xfId="0">
      <alignment horizontal="center" vertical="center" wrapText="1" readingOrder="2"/>
    </xf>
    <xf numFmtId="0" fontId="11" fillId="22" borderId="1" applyAlignment="1" pivotButton="0" quotePrefix="0" xfId="0">
      <alignment horizontal="center" vertical="center" wrapText="1" readingOrder="2"/>
    </xf>
    <xf numFmtId="164" fontId="11" fillId="22" borderId="1" applyAlignment="1" pivotButton="0" quotePrefix="0" xfId="0">
      <alignment horizontal="center" vertical="center" wrapText="1" readingOrder="2"/>
    </xf>
    <xf numFmtId="164" fontId="28" fillId="21" borderId="1" applyAlignment="1" pivotButton="0" quotePrefix="0" xfId="0">
      <alignment horizontal="center" vertical="center" wrapText="1" readingOrder="2"/>
    </xf>
    <xf numFmtId="164" fontId="29" fillId="22" borderId="1" applyAlignment="1" pivotButton="0" quotePrefix="0" xfId="0">
      <alignment horizontal="center" vertical="center" wrapText="1" readingOrder="2"/>
    </xf>
    <xf numFmtId="164" fontId="30" fillId="21" borderId="1" applyAlignment="1" pivotButton="0" quotePrefix="0" xfId="0">
      <alignment horizontal="center" vertical="center" wrapText="1" readingOrder="2"/>
    </xf>
    <xf numFmtId="164" fontId="20" fillId="22" borderId="1" applyAlignment="1" pivotButton="0" quotePrefix="0" xfId="0">
      <alignment horizontal="center" vertical="center" wrapText="1" readingOrder="2"/>
    </xf>
    <xf numFmtId="164" fontId="31" fillId="21" borderId="1" applyAlignment="1" pivotButton="0" quotePrefix="0" xfId="0">
      <alignment horizontal="center" vertical="center" wrapText="1" readingOrder="2"/>
    </xf>
    <xf numFmtId="164" fontId="32" fillId="22" borderId="1" applyAlignment="1" pivotButton="0" quotePrefix="0" xfId="0">
      <alignment horizontal="center" vertical="center" wrapText="1" readingOrder="2"/>
    </xf>
    <xf numFmtId="0" fontId="13" fillId="7" borderId="1" applyAlignment="1" pivotButton="0" quotePrefix="0" xfId="0">
      <alignment horizontal="center" vertical="center" wrapText="1" readingOrder="2"/>
    </xf>
    <xf numFmtId="164" fontId="13" fillId="7" borderId="1" applyAlignment="1" pivotButton="0" quotePrefix="0" xfId="0">
      <alignment horizontal="center" vertical="center" wrapText="1" readingOrder="2"/>
    </xf>
    <xf numFmtId="9" fontId="13" fillId="7" borderId="1" applyAlignment="1" pivotButton="0" quotePrefix="0" xfId="0">
      <alignment horizontal="center" vertical="center" wrapText="1" readingOrder="2"/>
    </xf>
    <xf numFmtId="0" fontId="17" fillId="23" borderId="0" applyAlignment="1" pivotButton="0" quotePrefix="0" xfId="0">
      <alignment horizontal="center" vertical="center" wrapText="1" readingOrder="2"/>
    </xf>
    <xf numFmtId="0" fontId="33" fillId="8" borderId="1" applyAlignment="1" pivotButton="0" quotePrefix="0" xfId="0">
      <alignment horizontal="center" vertical="center" wrapText="1" readingOrder="2"/>
    </xf>
    <xf numFmtId="164" fontId="12" fillId="12" borderId="1" applyAlignment="1" pivotButton="0" quotePrefix="0" xfId="0">
      <alignment horizontal="center" vertical="center" wrapText="1" readingOrder="2"/>
    </xf>
    <xf numFmtId="0" fontId="12" fillId="13" borderId="1" applyAlignment="1" pivotButton="0" quotePrefix="0" xfId="0">
      <alignment horizontal="center" vertical="center" wrapText="1" readingOrder="2"/>
    </xf>
    <xf numFmtId="0" fontId="13" fillId="23" borderId="1" applyAlignment="1" pivotButton="0" quotePrefix="0" xfId="0">
      <alignment horizontal="center" vertical="center" wrapText="1" readingOrder="2"/>
    </xf>
    <xf numFmtId="0" fontId="11" fillId="23" borderId="1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164" fontId="13" fillId="5" borderId="1" applyAlignment="1" pivotButton="0" quotePrefix="0" xfId="0">
      <alignment horizontal="center" vertical="center" wrapText="1" readingOrder="2"/>
    </xf>
    <xf numFmtId="0" fontId="34" fillId="19" borderId="1" applyAlignment="1" pivotButton="0" quotePrefix="0" xfId="0">
      <alignment horizontal="center" vertical="center" wrapText="1" readingOrder="2"/>
    </xf>
    <xf numFmtId="0" fontId="34" fillId="20" borderId="1" applyAlignment="1" pivotButton="0" quotePrefix="0" xfId="0">
      <alignment horizontal="center" vertical="center" wrapText="1" readingOrder="2"/>
    </xf>
    <xf numFmtId="164" fontId="11" fillId="19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164" fontId="11" fillId="20" borderId="1" applyAlignment="1" pivotButton="0" quotePrefix="0" xfId="0">
      <alignment horizontal="center" vertical="center" wrapText="1" readingOrder="2"/>
    </xf>
    <xf numFmtId="0" fontId="13" fillId="6" borderId="1" applyAlignment="1" pivotButton="0" quotePrefix="0" xfId="0">
      <alignment horizontal="center" vertical="center" wrapText="1" readingOrder="2"/>
    </xf>
    <xf numFmtId="164" fontId="13" fillId="6" borderId="1" applyAlignment="1" pivotButton="0" quotePrefix="0" xfId="0">
      <alignment horizontal="center" vertical="center" wrapText="1" readingOrder="2"/>
    </xf>
    <xf numFmtId="0" fontId="35" fillId="24" borderId="0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1C40F"/>
    <outlinePr summaryBelow="1" summaryRight="1"/>
    <pageSetUpPr/>
  </sheetPr>
  <dimension ref="A1:S5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45" customHeight="1">
      <c r="A1" s="1" t="inlineStr">
        <is>
          <t>💎  מעקב פיננסי אישי  💎</t>
        </is>
      </c>
      <c r="Q1" s="2" t="n"/>
      <c r="R1" s="2" t="n"/>
      <c r="S1" s="2" t="n"/>
    </row>
    <row r="2" ht="22" customHeight="1">
      <c r="A2" s="3" t="inlineStr">
        <is>
          <t>עודכן לאחרונה: 18/04/2026 19:12</t>
        </is>
      </c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8" customHeight="1">
      <c r="A4" s="4" t="inlineStr">
        <is>
          <t>💵 הכנסה חודשית</t>
        </is>
      </c>
      <c r="D4" s="2" t="n"/>
      <c r="E4" s="5" t="inlineStr">
        <is>
          <t>💸 הוצאות החודש</t>
        </is>
      </c>
      <c r="H4" s="2" t="n"/>
      <c r="I4" s="6" t="inlineStr">
        <is>
          <t>💰 חיסכון</t>
        </is>
      </c>
      <c r="L4" s="2" t="n"/>
      <c r="M4" s="7" t="inlineStr">
        <is>
          <t>📊 % חיסכון</t>
        </is>
      </c>
      <c r="P4" s="2" t="n"/>
      <c r="Q4" s="2" t="n"/>
      <c r="R4" s="2" t="n"/>
      <c r="S4" s="2" t="n"/>
    </row>
    <row r="5" ht="40" customHeight="1">
      <c r="A5" s="8" t="inlineStr">
        <is>
          <t>₪9,078</t>
        </is>
      </c>
      <c r="D5" s="2" t="n"/>
      <c r="E5" s="9" t="inlineStr">
        <is>
          <t>₪5,512</t>
        </is>
      </c>
      <c r="H5" s="2" t="n"/>
      <c r="I5" s="10" t="inlineStr">
        <is>
          <t>₪3,566</t>
        </is>
      </c>
      <c r="L5" s="2" t="n"/>
      <c r="M5" s="11" t="inlineStr">
        <is>
          <t>39.3%</t>
        </is>
      </c>
      <c r="P5" s="2" t="n"/>
      <c r="Q5" s="2" t="n"/>
      <c r="R5" s="2" t="n"/>
      <c r="S5" s="2" t="n"/>
    </row>
    <row r="6" ht="8" customHeight="1">
      <c r="A6" s="2" t="inlineStr"/>
      <c r="D6" s="2" t="n"/>
      <c r="E6" s="2" t="inlineStr"/>
      <c r="H6" s="2" t="n"/>
      <c r="I6" s="2" t="inlineStr"/>
      <c r="L6" s="2" t="n"/>
      <c r="M6" s="2" t="inlineStr"/>
      <c r="P6" s="2" t="n"/>
      <c r="Q6" s="2" t="n"/>
      <c r="R6" s="2" t="n"/>
      <c r="S6" s="2" t="n"/>
    </row>
    <row r="7" ht="18" customHeight="1">
      <c r="A7" s="12" t="inlineStr">
        <is>
          <t>━━━━━━━━━━━━━━  מד הבריאות הפיננסית שלך  ━━━━━━━━━━━━━━</t>
        </is>
      </c>
      <c r="Q7" s="2" t="n"/>
      <c r="R7" s="2" t="n"/>
      <c r="S7" s="2" t="n"/>
    </row>
    <row r="8" ht="45" customHeight="1">
      <c r="A8" s="13" t="inlineStr">
        <is>
          <t>ציון: 60/100  |  טוב 👍</t>
        </is>
      </c>
      <c r="Q8" s="2" t="n"/>
      <c r="R8" s="2" t="n"/>
      <c r="S8" s="2" t="n"/>
    </row>
    <row r="9" ht="10" customHeight="1">
      <c r="Q9" s="2" t="n"/>
      <c r="R9" s="2" t="n"/>
      <c r="S9" s="2" t="n"/>
    </row>
    <row r="10" ht="18" customHeight="1">
      <c r="A10" s="14" t="inlineStr">
        <is>
          <t>פירוט הציון:</t>
        </is>
      </c>
      <c r="Q10" s="2" t="n"/>
      <c r="R10" s="2" t="n"/>
      <c r="S10" s="2" t="n"/>
    </row>
    <row r="11" ht="16" customHeight="1">
      <c r="A11" s="15" t="inlineStr">
        <is>
          <t>חיסכון</t>
        </is>
      </c>
      <c r="D11" s="2" t="n"/>
      <c r="E11" s="15" t="inlineStr">
        <is>
          <t>עמידה בתקציב</t>
        </is>
      </c>
      <c r="H11" s="2" t="n"/>
      <c r="I11" s="15" t="inlineStr">
        <is>
          <t>פיזור הוצאות</t>
        </is>
      </c>
      <c r="L11" s="2" t="n"/>
      <c r="M11" s="15" t="inlineStr">
        <is>
          <t>קרן חירום</t>
        </is>
      </c>
      <c r="P11" s="2" t="n"/>
      <c r="Q11" s="2" t="n"/>
      <c r="R11" s="2" t="n"/>
      <c r="S11" s="2" t="n"/>
    </row>
    <row r="12" ht="30" customHeight="1">
      <c r="A12" s="16" t="inlineStr">
        <is>
          <t>27/30</t>
        </is>
      </c>
      <c r="D12" s="2" t="n"/>
      <c r="E12" s="17" t="inlineStr">
        <is>
          <t>8/25</t>
        </is>
      </c>
      <c r="H12" s="2" t="n"/>
      <c r="I12" s="16" t="inlineStr">
        <is>
          <t>16/20</t>
        </is>
      </c>
      <c r="L12" s="2" t="n"/>
      <c r="M12" s="18" t="inlineStr">
        <is>
          <t>9/15</t>
        </is>
      </c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 ht="18" customHeight="1">
      <c r="A14" s="19" t="inlineStr">
        <is>
          <t>💡  טיפים פיננסיים אישיים</t>
        </is>
      </c>
      <c r="Q14" s="2" t="n"/>
      <c r="R14" s="2" t="n"/>
      <c r="S14" s="2" t="n"/>
    </row>
    <row r="15" ht="22" customHeight="1">
      <c r="A15" s="20" t="inlineStr">
        <is>
          <t xml:space="preserve">  ➤  ⚠️ מסעדות + משלוחים: 811₪ ב-14 עסקאות! תקציב מומלץ: 200₪ — חיסכון פוטנציאלי: 611₪/חודש</t>
        </is>
      </c>
      <c r="Q15" s="2" t="n"/>
      <c r="R15" s="2" t="n"/>
      <c r="S15" s="2" t="n"/>
    </row>
    <row r="16" ht="22" customHeight="1">
      <c r="A16" s="21" t="inlineStr">
        <is>
          <t xml:space="preserve">  ➤  💝 מתנות לבת זוג החודש: 860₪ (תכשיט 415₪ + פרחים 345₪) — קבע תקציב מתנות: 200₪/חודש</t>
        </is>
      </c>
      <c r="Q16" s="2" t="n"/>
      <c r="R16" s="2" t="n"/>
      <c r="S16" s="2" t="n"/>
    </row>
    <row r="17" ht="22" customHeight="1">
      <c r="A17" s="20" t="inlineStr">
        <is>
          <t xml:space="preserve">  ➤  ⚡ 5 משקאות אנרגיה = 61₪ — קנה קרטון ב-45₪ וחסוך כמעט חצי</t>
        </is>
      </c>
      <c r="Q17" s="2" t="n"/>
      <c r="R17" s="2" t="n"/>
      <c r="S17" s="2" t="n"/>
    </row>
    <row r="18" ht="22" customHeight="1">
      <c r="A18" s="21" t="inlineStr">
        <is>
          <t xml:space="preserve">  ➤  💡 Claude + ChatGPT = 159₪/חודש — יש לך כבר Claude כיועץ פיננסי, שקול לבטל ChatGPT</t>
        </is>
      </c>
      <c r="Q18" s="2" t="n"/>
      <c r="R18" s="2" t="n"/>
      <c r="S18" s="2" t="n"/>
    </row>
    <row r="19" ht="22" customHeight="1">
      <c r="A19" s="20" t="inlineStr">
        <is>
          <t xml:space="preserve">  ➤  🚗 שיעורי נהיגה: 1,100₪ — השקעה חשובה! ודא כמה שיעורים נותרו לבחינה</t>
        </is>
      </c>
      <c r="Q19" s="2" t="n"/>
      <c r="R19" s="2" t="n"/>
      <c r="S19" s="2" t="n"/>
    </row>
    <row r="20" ht="22" customHeight="1">
      <c r="A20" s="21" t="inlineStr">
        <is>
          <t xml:space="preserve">  ➤  💰 2,000₪ מאמא = חד פעמי! תכנן את מאי רק על בסיס 7,078₪ הכנסה קבועה</t>
        </is>
      </c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</sheetData>
  <mergeCells count="32">
    <mergeCell ref="M11:O11"/>
    <mergeCell ref="A14:P14"/>
    <mergeCell ref="A17:P17"/>
    <mergeCell ref="I12:K12"/>
    <mergeCell ref="A20:P20"/>
    <mergeCell ref="A12:C12"/>
    <mergeCell ref="M6:O6"/>
    <mergeCell ref="M12:O12"/>
    <mergeCell ref="E6:G6"/>
    <mergeCell ref="A19:P19"/>
    <mergeCell ref="A10:P10"/>
    <mergeCell ref="E11:G11"/>
    <mergeCell ref="A5:C5"/>
    <mergeCell ref="I5:K5"/>
    <mergeCell ref="I4:K4"/>
    <mergeCell ref="A4:C4"/>
    <mergeCell ref="A15:P15"/>
    <mergeCell ref="A1:P1"/>
    <mergeCell ref="M4:O4"/>
    <mergeCell ref="A8:P9"/>
    <mergeCell ref="E12:G12"/>
    <mergeCell ref="A16:P16"/>
    <mergeCell ref="A7:P7"/>
    <mergeCell ref="I6:K6"/>
    <mergeCell ref="I11:K11"/>
    <mergeCell ref="A11:C11"/>
    <mergeCell ref="E5:G5"/>
    <mergeCell ref="A18:P18"/>
    <mergeCell ref="A6:C6"/>
    <mergeCell ref="M5:O5"/>
    <mergeCell ref="E4:G4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N99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2" customWidth="1" min="5" max="5"/>
    <col width="10" customWidth="1" min="6" max="6"/>
    <col width="30" customWidth="1" min="7" max="7"/>
  </cols>
  <sheetData>
    <row r="1" ht="35" customHeight="1">
      <c r="A1" s="22" t="inlineStr">
        <is>
          <t>📅  סיכום חודשי - הכנסות והוצאות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8" customHeight="1">
      <c r="A3" s="23" t="inlineStr">
        <is>
          <t>חודש</t>
        </is>
      </c>
      <c r="B3" s="23" t="inlineStr">
        <is>
          <t>הכנסה</t>
        </is>
      </c>
      <c r="C3" s="23" t="inlineStr">
        <is>
          <t>הוצאות</t>
        </is>
      </c>
      <c r="D3" s="23" t="inlineStr">
        <is>
          <t>חיסכון</t>
        </is>
      </c>
      <c r="E3" s="23" t="inlineStr">
        <is>
          <t>% חיסכון</t>
        </is>
      </c>
      <c r="F3" s="23" t="inlineStr">
        <is>
          <t>ציון</t>
        </is>
      </c>
      <c r="G3" s="23" t="inlineStr">
        <is>
          <t>הערות</t>
        </is>
      </c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24" t="inlineStr">
        <is>
          <t>אפריל 2026</t>
        </is>
      </c>
      <c r="B4" s="25" t="n">
        <v>9078</v>
      </c>
      <c r="C4" s="25" t="n">
        <v>5082</v>
      </c>
      <c r="D4" s="26" t="n">
        <v>3996</v>
      </c>
      <c r="E4" s="27" t="n">
        <v>0.4401850627891606</v>
      </c>
      <c r="F4" s="28" t="n">
        <v>60</v>
      </c>
      <c r="G4" s="24" t="inlineStr">
        <is>
          <t>הכנסה גבוהה: עבודה 5,616₪ + צבא 1,462₪ + אמא 2,000₪ (חד פעמי). הכנסה רגילה: 7,078₪</t>
        </is>
      </c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30" customHeight="1">
      <c r="A7" s="29" t="inlineStr">
        <is>
          <t>💵  מקורות הכנסה</t>
        </is>
      </c>
    </row>
    <row r="8" ht="25" customHeight="1">
      <c r="A8" s="30" t="inlineStr">
        <is>
          <t>מקור הכנסה</t>
        </is>
      </c>
      <c r="B8" s="30" t="inlineStr">
        <is>
          <t>סכום נטו</t>
        </is>
      </c>
      <c r="C8" s="30" t="inlineStr">
        <is>
          <t>סכום ברוטו</t>
        </is>
      </c>
      <c r="D8" s="30" t="inlineStr">
        <is>
          <t>תאריך קבלה</t>
        </is>
      </c>
      <c r="E8" s="30" t="inlineStr">
        <is>
          <t>קבוע/משתנה</t>
        </is>
      </c>
      <c r="F8" s="30" t="inlineStr">
        <is>
          <t>הערות</t>
        </is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31" t="inlineStr">
        <is>
          <t>צבא</t>
        </is>
      </c>
      <c r="B9" s="32" t="n">
        <v>1462</v>
      </c>
      <c r="C9" s="33" t="n">
        <v>1462</v>
      </c>
      <c r="D9" s="31" t="inlineStr">
        <is>
          <t>1 לחודש</t>
        </is>
      </c>
      <c r="E9" s="31" t="inlineStr">
        <is>
          <t>קבוע</t>
        </is>
      </c>
      <c r="F9" s="31" t="inlineStr">
        <is>
          <t>שכר חייל קבוע</t>
        </is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34" t="inlineStr">
        <is>
          <t>עבודה</t>
        </is>
      </c>
      <c r="B10" s="35" t="n">
        <v>5616</v>
      </c>
      <c r="C10" s="36" t="n">
        <v>5616</v>
      </c>
      <c r="D10" s="34" t="inlineStr">
        <is>
          <t>10 לחודש</t>
        </is>
      </c>
      <c r="E10" s="34" t="inlineStr">
        <is>
          <t>משתנה</t>
        </is>
      </c>
      <c r="F10" s="34" t="inlineStr">
        <is>
          <t>משכורת עבודה — משתנה כל חודש | אפריל: 5,616₪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31" t="inlineStr">
        <is>
          <t>אמא - תוספת חד פעמית</t>
        </is>
      </c>
      <c r="B11" s="32" t="n">
        <v>2000</v>
      </c>
      <c r="C11" s="33" t="n">
        <v>2000</v>
      </c>
      <c r="D11" s="31" t="inlineStr">
        <is>
          <t>אפריל 2026</t>
        </is>
      </c>
      <c r="E11" s="31" t="inlineStr">
        <is>
          <t>חד פעמי</t>
        </is>
      </c>
      <c r="F11" s="31" t="inlineStr">
        <is>
          <t>⚠️ לא לחשב כהכנסה קבועה לתכנון עתידי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</sheetData>
  <mergeCells count="2">
    <mergeCell ref="A7:N7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1:K4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12" customWidth="1" min="4" max="4"/>
    <col width="15" customWidth="1" min="5" max="5"/>
    <col width="15" customWidth="1" min="6" max="6"/>
    <col width="25" customWidth="1" min="7" max="7"/>
  </cols>
  <sheetData>
    <row r="1" ht="35" customHeight="1">
      <c r="A1" s="37" t="inlineStr">
        <is>
          <t>💸  יומן הוצאות מפורט</t>
        </is>
      </c>
    </row>
    <row r="2" ht="26" customHeight="1">
      <c r="A2" s="38" t="inlineStr">
        <is>
          <t>תאריך</t>
        </is>
      </c>
      <c r="B2" s="38" t="inlineStr">
        <is>
          <t>קטגוריה</t>
        </is>
      </c>
      <c r="C2" s="38" t="inlineStr">
        <is>
          <t>תיאור</t>
        </is>
      </c>
      <c r="D2" s="38" t="inlineStr">
        <is>
          <t>סכום</t>
        </is>
      </c>
      <c r="E2" s="38" t="inlineStr">
        <is>
          <t>שיטת תשלום</t>
        </is>
      </c>
      <c r="F2" s="38" t="inlineStr">
        <is>
          <t>האם הכרחי?</t>
        </is>
      </c>
      <c r="G2" s="38" t="inlineStr">
        <is>
          <t>הערות</t>
        </is>
      </c>
      <c r="H2" s="2" t="n"/>
      <c r="I2" s="2" t="n"/>
      <c r="J2" s="2" t="n"/>
      <c r="K2" s="2" t="n"/>
    </row>
    <row r="3" ht="22" customHeight="1">
      <c r="A3" s="39" t="inlineStr">
        <is>
          <t>04/2026</t>
        </is>
      </c>
      <c r="B3" s="40" t="inlineStr">
        <is>
          <t>מתנות</t>
        </is>
      </c>
      <c r="C3" s="39" t="inlineStr">
        <is>
          <t>מתנה - זארה</t>
        </is>
      </c>
      <c r="D3" s="41" t="n">
        <v>100</v>
      </c>
      <c r="E3" s="39" t="inlineStr">
        <is>
          <t>לא צוין</t>
        </is>
      </c>
      <c r="F3" s="42" t="inlineStr">
        <is>
          <t>❌ לא</t>
        </is>
      </c>
      <c r="G3" s="39" t="inlineStr"/>
      <c r="H3" s="2" t="n"/>
      <c r="I3" s="2" t="n"/>
      <c r="J3" s="2" t="n"/>
      <c r="K3" s="2" t="n"/>
    </row>
    <row r="4" ht="22" customHeight="1">
      <c r="A4" s="43" t="inlineStr">
        <is>
          <t>04/2026</t>
        </is>
      </c>
      <c r="B4" s="44" t="inlineStr">
        <is>
          <t>מתנות</t>
        </is>
      </c>
      <c r="C4" s="43" t="inlineStr">
        <is>
          <t>תכשיט מגנוליה לבת זוג</t>
        </is>
      </c>
      <c r="D4" s="45" t="n">
        <v>415</v>
      </c>
      <c r="E4" s="43" t="inlineStr">
        <is>
          <t>לא צוין</t>
        </is>
      </c>
      <c r="F4" s="46" t="inlineStr">
        <is>
          <t>❌ לא</t>
        </is>
      </c>
      <c r="G4" s="43" t="inlineStr">
        <is>
          <t>רכישה גדולה</t>
        </is>
      </c>
      <c r="H4" s="2" t="n"/>
      <c r="I4" s="2" t="n"/>
      <c r="J4" s="2" t="n"/>
      <c r="K4" s="2" t="n"/>
    </row>
    <row r="5" ht="22" customHeight="1">
      <c r="A5" s="39" t="inlineStr">
        <is>
          <t>04/2026</t>
        </is>
      </c>
      <c r="B5" s="40" t="inlineStr">
        <is>
          <t>מתנות</t>
        </is>
      </c>
      <c r="C5" s="39" t="inlineStr">
        <is>
          <t>פרחים לבת זוג</t>
        </is>
      </c>
      <c r="D5" s="41" t="n">
        <v>140</v>
      </c>
      <c r="E5" s="39" t="inlineStr">
        <is>
          <t>לא צוין</t>
        </is>
      </c>
      <c r="F5" s="42" t="inlineStr">
        <is>
          <t>❌ לא</t>
        </is>
      </c>
      <c r="G5" s="39" t="inlineStr"/>
      <c r="H5" s="2" t="n"/>
      <c r="I5" s="2" t="n"/>
      <c r="J5" s="2" t="n"/>
      <c r="K5" s="2" t="n"/>
    </row>
    <row r="6" ht="22" customHeight="1">
      <c r="A6" s="43" t="inlineStr">
        <is>
          <t>04/2026</t>
        </is>
      </c>
      <c r="B6" s="44" t="inlineStr">
        <is>
          <t>חשבונות קבועים</t>
        </is>
      </c>
      <c r="C6" s="43" t="inlineStr">
        <is>
          <t>מנוי גוגל</t>
        </is>
      </c>
      <c r="D6" s="45" t="n">
        <v>8</v>
      </c>
      <c r="E6" s="43" t="inlineStr">
        <is>
          <t>כרטיס אשראי</t>
        </is>
      </c>
      <c r="F6" s="47" t="inlineStr">
        <is>
          <t>✅ כן</t>
        </is>
      </c>
      <c r="G6" s="43" t="inlineStr"/>
      <c r="H6" s="2" t="n"/>
      <c r="I6" s="2" t="n"/>
      <c r="J6" s="2" t="n"/>
      <c r="K6" s="2" t="n"/>
    </row>
    <row r="7" ht="22" customHeight="1">
      <c r="A7" s="39" t="inlineStr">
        <is>
          <t>04/2026</t>
        </is>
      </c>
      <c r="B7" s="40" t="inlineStr">
        <is>
          <t>אחר</t>
        </is>
      </c>
      <c r="C7" s="39" t="inlineStr">
        <is>
          <t>ביט - העברה</t>
        </is>
      </c>
      <c r="D7" s="41" t="n">
        <v>20</v>
      </c>
      <c r="E7" s="39" t="inlineStr">
        <is>
          <t>ביט</t>
        </is>
      </c>
      <c r="F7" s="42" t="inlineStr">
        <is>
          <t>❌ לא</t>
        </is>
      </c>
      <c r="G7" s="39" t="inlineStr">
        <is>
          <t>לא ידוע למה</t>
        </is>
      </c>
      <c r="H7" s="2" t="n"/>
      <c r="I7" s="2" t="n"/>
      <c r="J7" s="2" t="n"/>
      <c r="K7" s="2" t="n"/>
    </row>
    <row r="8" ht="22" customHeight="1">
      <c r="A8" s="43" t="inlineStr">
        <is>
          <t>04/2026</t>
        </is>
      </c>
      <c r="B8" s="44" t="inlineStr">
        <is>
          <t>מסעדות וקפה</t>
        </is>
      </c>
      <c r="C8" s="43" t="inlineStr">
        <is>
          <t>משלוח אוכל</t>
        </is>
      </c>
      <c r="D8" s="45" t="n">
        <v>118</v>
      </c>
      <c r="E8" s="43" t="inlineStr">
        <is>
          <t>לא צוין</t>
        </is>
      </c>
      <c r="F8" s="46" t="inlineStr">
        <is>
          <t>❌ לא</t>
        </is>
      </c>
      <c r="G8" s="43" t="inlineStr"/>
      <c r="H8" s="2" t="n"/>
      <c r="I8" s="2" t="n"/>
      <c r="J8" s="2" t="n"/>
      <c r="K8" s="2" t="n"/>
    </row>
    <row r="9" ht="22" customHeight="1">
      <c r="A9" s="39" t="inlineStr">
        <is>
          <t>04/2026</t>
        </is>
      </c>
      <c r="B9" s="40" t="inlineStr">
        <is>
          <t>מזון וסופר</t>
        </is>
      </c>
      <c r="C9" s="39" t="inlineStr">
        <is>
          <t>שופרסל</t>
        </is>
      </c>
      <c r="D9" s="41" t="n">
        <v>64</v>
      </c>
      <c r="E9" s="39" t="inlineStr">
        <is>
          <t>לא צוין</t>
        </is>
      </c>
      <c r="F9" s="48" t="inlineStr">
        <is>
          <t>✅ כן</t>
        </is>
      </c>
      <c r="G9" s="39" t="inlineStr"/>
      <c r="H9" s="2" t="n"/>
      <c r="I9" s="2" t="n"/>
      <c r="J9" s="2" t="n"/>
      <c r="K9" s="2" t="n"/>
    </row>
    <row r="10" ht="22" customHeight="1">
      <c r="A10" s="43" t="inlineStr">
        <is>
          <t>04/2026</t>
        </is>
      </c>
      <c r="B10" s="44" t="inlineStr">
        <is>
          <t>מסעדות וקפה</t>
        </is>
      </c>
      <c r="C10" s="43" t="inlineStr">
        <is>
          <t>פסאו - מסעדה</t>
        </is>
      </c>
      <c r="D10" s="45" t="n">
        <v>286</v>
      </c>
      <c r="E10" s="43" t="inlineStr">
        <is>
          <t>לא צוין</t>
        </is>
      </c>
      <c r="F10" s="46" t="inlineStr">
        <is>
          <t>❌ לא</t>
        </is>
      </c>
      <c r="G10" s="43" t="inlineStr"/>
      <c r="H10" s="2" t="n"/>
      <c r="I10" s="2" t="n"/>
      <c r="J10" s="2" t="n"/>
      <c r="K10" s="2" t="n"/>
    </row>
    <row r="11" ht="22" customHeight="1">
      <c r="A11" s="39" t="inlineStr">
        <is>
          <t>04/2026</t>
        </is>
      </c>
      <c r="B11" s="40" t="inlineStr">
        <is>
          <t>מסעדות וקפה</t>
        </is>
      </c>
      <c r="C11" s="39" t="inlineStr">
        <is>
          <t>פריים - מסעדה</t>
        </is>
      </c>
      <c r="D11" s="41" t="n">
        <v>120</v>
      </c>
      <c r="E11" s="39" t="inlineStr">
        <is>
          <t>לא צוין</t>
        </is>
      </c>
      <c r="F11" s="42" t="inlineStr">
        <is>
          <t>❌ לא</t>
        </is>
      </c>
      <c r="G11" s="39" t="inlineStr"/>
      <c r="H11" s="2" t="n"/>
      <c r="I11" s="2" t="n"/>
      <c r="J11" s="2" t="n"/>
      <c r="K11" s="2" t="n"/>
    </row>
    <row r="12" ht="22" customHeight="1">
      <c r="A12" s="43" t="inlineStr">
        <is>
          <t>04/2026</t>
        </is>
      </c>
      <c r="B12" s="44" t="inlineStr">
        <is>
          <t>מסעדות וקפה</t>
        </is>
      </c>
      <c r="C12" s="43" t="inlineStr">
        <is>
          <t>משלוח אוכל</t>
        </is>
      </c>
      <c r="D12" s="45" t="n">
        <v>83</v>
      </c>
      <c r="E12" s="43" t="inlineStr">
        <is>
          <t>לא צוין</t>
        </is>
      </c>
      <c r="F12" s="46" t="inlineStr">
        <is>
          <t>❌ לא</t>
        </is>
      </c>
      <c r="G12" s="43" t="inlineStr"/>
      <c r="H12" s="2" t="n"/>
      <c r="I12" s="2" t="n"/>
      <c r="J12" s="2" t="n"/>
      <c r="K12" s="2" t="n"/>
    </row>
    <row r="13" ht="22" customHeight="1">
      <c r="A13" s="39" t="inlineStr">
        <is>
          <t>04/2026</t>
        </is>
      </c>
      <c r="B13" s="40" t="inlineStr">
        <is>
          <t>מסעדות וקפה</t>
        </is>
      </c>
      <c r="C13" s="39" t="inlineStr">
        <is>
          <t>קולה</t>
        </is>
      </c>
      <c r="D13" s="41" t="n">
        <v>8</v>
      </c>
      <c r="E13" s="39" t="inlineStr">
        <is>
          <t>מזומן</t>
        </is>
      </c>
      <c r="F13" s="42" t="inlineStr">
        <is>
          <t>❌ לא</t>
        </is>
      </c>
      <c r="G13" s="39" t="inlineStr"/>
      <c r="H13" s="2" t="n"/>
      <c r="I13" s="2" t="n"/>
      <c r="J13" s="2" t="n"/>
      <c r="K13" s="2" t="n"/>
    </row>
    <row r="14" ht="22" customHeight="1">
      <c r="A14" s="43" t="inlineStr">
        <is>
          <t>04/2026</t>
        </is>
      </c>
      <c r="B14" s="44" t="inlineStr">
        <is>
          <t>מסעדות וקפה</t>
        </is>
      </c>
      <c r="C14" s="43" t="inlineStr">
        <is>
          <t>ארומה - כריך וקפה</t>
        </is>
      </c>
      <c r="D14" s="45" t="n">
        <v>15</v>
      </c>
      <c r="E14" s="43" t="inlineStr">
        <is>
          <t>לא צוין</t>
        </is>
      </c>
      <c r="F14" s="46" t="inlineStr">
        <is>
          <t>❌ לא</t>
        </is>
      </c>
      <c r="G14" s="43" t="inlineStr"/>
      <c r="H14" s="2" t="n"/>
      <c r="I14" s="2" t="n"/>
      <c r="J14" s="2" t="n"/>
      <c r="K14" s="2" t="n"/>
    </row>
    <row r="15" ht="22" customHeight="1">
      <c r="A15" s="39" t="inlineStr">
        <is>
          <t>04/2026</t>
        </is>
      </c>
      <c r="B15" s="40" t="inlineStr">
        <is>
          <t>מסעדות וקפה</t>
        </is>
      </c>
      <c r="C15" s="39" t="inlineStr">
        <is>
          <t>משקה אנרגיה</t>
        </is>
      </c>
      <c r="D15" s="41" t="n">
        <v>10</v>
      </c>
      <c r="E15" s="39" t="inlineStr">
        <is>
          <t>מזומן</t>
        </is>
      </c>
      <c r="F15" s="42" t="inlineStr">
        <is>
          <t>❌ לא</t>
        </is>
      </c>
      <c r="G15" s="39" t="inlineStr"/>
      <c r="H15" s="2" t="n"/>
      <c r="I15" s="2" t="n"/>
      <c r="J15" s="2" t="n"/>
      <c r="K15" s="2" t="n"/>
    </row>
    <row r="16" ht="22" customHeight="1">
      <c r="A16" s="43" t="inlineStr">
        <is>
          <t>04/2026</t>
        </is>
      </c>
      <c r="B16" s="44" t="inlineStr">
        <is>
          <t>בילויים</t>
        </is>
      </c>
      <c r="C16" s="43" t="inlineStr">
        <is>
          <t>באולינג ומשחקייה</t>
        </is>
      </c>
      <c r="D16" s="45" t="n">
        <v>66</v>
      </c>
      <c r="E16" s="43" t="inlineStr">
        <is>
          <t>לא צוין</t>
        </is>
      </c>
      <c r="F16" s="46" t="inlineStr">
        <is>
          <t>❌ לא</t>
        </is>
      </c>
      <c r="G16" s="43" t="inlineStr"/>
      <c r="H16" s="2" t="n"/>
      <c r="I16" s="2" t="n"/>
      <c r="J16" s="2" t="n"/>
      <c r="K16" s="2" t="n"/>
    </row>
    <row r="17" ht="22" customHeight="1">
      <c r="A17" s="39" t="inlineStr">
        <is>
          <t>04/2026</t>
        </is>
      </c>
      <c r="B17" s="40" t="inlineStr">
        <is>
          <t>אחר</t>
        </is>
      </c>
      <c r="C17" s="39" t="inlineStr">
        <is>
          <t>תרומה - חיות בכבוד</t>
        </is>
      </c>
      <c r="D17" s="41" t="n">
        <v>189</v>
      </c>
      <c r="E17" s="39" t="inlineStr">
        <is>
          <t>לא צוין</t>
        </is>
      </c>
      <c r="F17" s="42" t="inlineStr">
        <is>
          <t>❌ לא</t>
        </is>
      </c>
      <c r="G17" s="39" t="inlineStr">
        <is>
          <t>תרומה לעמותה</t>
        </is>
      </c>
      <c r="H17" s="2" t="n"/>
      <c r="I17" s="2" t="n"/>
      <c r="J17" s="2" t="n"/>
      <c r="K17" s="2" t="n"/>
    </row>
    <row r="18" ht="22" customHeight="1">
      <c r="A18" s="43" t="inlineStr">
        <is>
          <t>04/2026</t>
        </is>
      </c>
      <c r="B18" s="44" t="inlineStr">
        <is>
          <t>מסעדות וקפה</t>
        </is>
      </c>
      <c r="C18" s="43" t="inlineStr">
        <is>
          <t>עזרא ובניו - אוכל</t>
        </is>
      </c>
      <c r="D18" s="45" t="n">
        <v>65</v>
      </c>
      <c r="E18" s="43" t="inlineStr">
        <is>
          <t>לא צוין</t>
        </is>
      </c>
      <c r="F18" s="46" t="inlineStr">
        <is>
          <t>❌ לא</t>
        </is>
      </c>
      <c r="G18" s="43" t="inlineStr"/>
      <c r="H18" s="2" t="n"/>
      <c r="I18" s="2" t="n"/>
      <c r="J18" s="2" t="n"/>
      <c r="K18" s="2" t="n"/>
    </row>
    <row r="19" ht="22" customHeight="1">
      <c r="A19" s="39" t="inlineStr">
        <is>
          <t>04/2026</t>
        </is>
      </c>
      <c r="B19" s="40" t="inlineStr">
        <is>
          <t>מתנות</t>
        </is>
      </c>
      <c r="C19" s="39" t="inlineStr">
        <is>
          <t>פרחים לבת זוג</t>
        </is>
      </c>
      <c r="D19" s="41" t="n">
        <v>205</v>
      </c>
      <c r="E19" s="39" t="inlineStr">
        <is>
          <t>לא צוין</t>
        </is>
      </c>
      <c r="F19" s="42" t="inlineStr">
        <is>
          <t>❌ לא</t>
        </is>
      </c>
      <c r="G19" s="39" t="inlineStr"/>
      <c r="H19" s="2" t="n"/>
      <c r="I19" s="2" t="n"/>
      <c r="J19" s="2" t="n"/>
      <c r="K19" s="2" t="n"/>
    </row>
    <row r="20" ht="22" customHeight="1">
      <c r="A20" s="43" t="inlineStr">
        <is>
          <t>04/2026</t>
        </is>
      </c>
      <c r="B20" s="44" t="inlineStr">
        <is>
          <t>מסעדות וקפה</t>
        </is>
      </c>
      <c r="C20" s="43" t="inlineStr">
        <is>
          <t>משקה אנרגיה</t>
        </is>
      </c>
      <c r="D20" s="45" t="n">
        <v>16</v>
      </c>
      <c r="E20" s="43" t="inlineStr">
        <is>
          <t>מזומן</t>
        </is>
      </c>
      <c r="F20" s="46" t="inlineStr">
        <is>
          <t>❌ לא</t>
        </is>
      </c>
      <c r="G20" s="43" t="inlineStr"/>
      <c r="H20" s="2" t="n"/>
      <c r="I20" s="2" t="n"/>
      <c r="J20" s="2" t="n"/>
      <c r="K20" s="2" t="n"/>
    </row>
    <row r="21" ht="22" customHeight="1">
      <c r="A21" s="39" t="inlineStr">
        <is>
          <t>04/2026</t>
        </is>
      </c>
      <c r="B21" s="40" t="inlineStr">
        <is>
          <t>ביגוד והנעלה</t>
        </is>
      </c>
      <c r="C21" s="39" t="inlineStr">
        <is>
          <t>ריקושט - כומתה</t>
        </is>
      </c>
      <c r="D21" s="41" t="n">
        <v>31</v>
      </c>
      <c r="E21" s="39" t="inlineStr">
        <is>
          <t>לא צוין</t>
        </is>
      </c>
      <c r="F21" s="48" t="inlineStr">
        <is>
          <t>✅ כן</t>
        </is>
      </c>
      <c r="G21" s="39" t="inlineStr">
        <is>
          <t>ציוד צבאי</t>
        </is>
      </c>
      <c r="H21" s="2" t="n"/>
      <c r="I21" s="2" t="n"/>
      <c r="J21" s="2" t="n"/>
      <c r="K21" s="2" t="n"/>
    </row>
    <row r="22" ht="22" customHeight="1">
      <c r="A22" s="43" t="inlineStr">
        <is>
          <t>04/2026</t>
        </is>
      </c>
      <c r="B22" s="44" t="inlineStr">
        <is>
          <t>מסעדות וקפה</t>
        </is>
      </c>
      <c r="C22" s="43" t="inlineStr">
        <is>
          <t>ספייס - משקה</t>
        </is>
      </c>
      <c r="D22" s="45" t="n">
        <v>20</v>
      </c>
      <c r="E22" s="43" t="inlineStr">
        <is>
          <t>לא צוין</t>
        </is>
      </c>
      <c r="F22" s="46" t="inlineStr">
        <is>
          <t>❌ לא</t>
        </is>
      </c>
      <c r="G22" s="43" t="inlineStr"/>
      <c r="H22" s="2" t="n"/>
      <c r="I22" s="2" t="n"/>
      <c r="J22" s="2" t="n"/>
      <c r="K22" s="2" t="n"/>
    </row>
    <row r="23" ht="22" customHeight="1">
      <c r="A23" s="39" t="inlineStr">
        <is>
          <t>04/2026</t>
        </is>
      </c>
      <c r="B23" s="40" t="inlineStr">
        <is>
          <t>מסעדות וקפה</t>
        </is>
      </c>
      <c r="C23" s="39" t="inlineStr">
        <is>
          <t>גלידה לבת זוג</t>
        </is>
      </c>
      <c r="D23" s="41" t="n">
        <v>30</v>
      </c>
      <c r="E23" s="39" t="inlineStr">
        <is>
          <t>מזומן</t>
        </is>
      </c>
      <c r="F23" s="42" t="inlineStr">
        <is>
          <t>❌ לא</t>
        </is>
      </c>
      <c r="G23" s="39" t="inlineStr"/>
      <c r="H23" s="2" t="n"/>
      <c r="I23" s="2" t="n"/>
      <c r="J23" s="2" t="n"/>
      <c r="K23" s="2" t="n"/>
    </row>
    <row r="24" ht="22" customHeight="1">
      <c r="A24" s="43" t="inlineStr">
        <is>
          <t>04/2026</t>
        </is>
      </c>
      <c r="B24" s="44" t="inlineStr">
        <is>
          <t>חינוך</t>
        </is>
      </c>
      <c r="C24" s="43" t="inlineStr">
        <is>
          <t>שיעורי נהיגה</t>
        </is>
      </c>
      <c r="D24" s="45" t="n">
        <v>300</v>
      </c>
      <c r="E24" s="43" t="inlineStr">
        <is>
          <t>לא צוין</t>
        </is>
      </c>
      <c r="F24" s="47" t="inlineStr">
        <is>
          <t>✅ כן</t>
        </is>
      </c>
      <c r="G24" s="43" t="inlineStr"/>
      <c r="H24" s="2" t="n"/>
      <c r="I24" s="2" t="n"/>
      <c r="J24" s="2" t="n"/>
      <c r="K24" s="2" t="n"/>
    </row>
    <row r="25" ht="22" customHeight="1">
      <c r="A25" s="39" t="inlineStr">
        <is>
          <t>04/2026</t>
        </is>
      </c>
      <c r="B25" s="40" t="inlineStr">
        <is>
          <t>אחר</t>
        </is>
      </c>
      <c r="C25" s="39" t="inlineStr">
        <is>
          <t>KSP - 2 ראשי מטען + 2 מולטי ויטמין</t>
        </is>
      </c>
      <c r="D25" s="41" t="n">
        <v>365</v>
      </c>
      <c r="E25" s="39" t="inlineStr">
        <is>
          <t>לא צוין</t>
        </is>
      </c>
      <c r="F25" s="48" t="inlineStr">
        <is>
          <t>✅ כן</t>
        </is>
      </c>
      <c r="G25" s="39" t="inlineStr">
        <is>
          <t>אלקטרוניקה + ויטמינים</t>
        </is>
      </c>
      <c r="H25" s="2" t="n"/>
      <c r="I25" s="2" t="n"/>
      <c r="J25" s="2" t="n"/>
      <c r="K25" s="2" t="n"/>
    </row>
    <row r="26" ht="22" customHeight="1">
      <c r="A26" s="43" t="inlineStr">
        <is>
          <t>04/2026</t>
        </is>
      </c>
      <c r="B26" s="44" t="inlineStr">
        <is>
          <t>מסעדות וקפה</t>
        </is>
      </c>
      <c r="C26" s="43" t="inlineStr">
        <is>
          <t>ארומה - כריך</t>
        </is>
      </c>
      <c r="D26" s="45" t="n">
        <v>15</v>
      </c>
      <c r="E26" s="43" t="inlineStr">
        <is>
          <t>לא צוין</t>
        </is>
      </c>
      <c r="F26" s="46" t="inlineStr">
        <is>
          <t>❌ לא</t>
        </is>
      </c>
      <c r="G26" s="43" t="inlineStr"/>
      <c r="H26" s="2" t="n"/>
      <c r="I26" s="2" t="n"/>
      <c r="J26" s="2" t="n"/>
      <c r="K26" s="2" t="n"/>
    </row>
    <row r="27" ht="22" customHeight="1">
      <c r="A27" s="39" t="inlineStr">
        <is>
          <t>04/2026</t>
        </is>
      </c>
      <c r="B27" s="40" t="inlineStr">
        <is>
          <t>אחר</t>
        </is>
      </c>
      <c r="C27" s="39" t="inlineStr">
        <is>
          <t>אוזניות וכבל לטלפון</t>
        </is>
      </c>
      <c r="D27" s="41" t="n">
        <v>349</v>
      </c>
      <c r="E27" s="39" t="inlineStr">
        <is>
          <t>לא צוין</t>
        </is>
      </c>
      <c r="F27" s="42" t="inlineStr">
        <is>
          <t>❌ לא</t>
        </is>
      </c>
      <c r="G27" s="39" t="inlineStr">
        <is>
          <t>אלקטרוניקה</t>
        </is>
      </c>
      <c r="H27" s="2" t="n"/>
      <c r="I27" s="2" t="n"/>
      <c r="J27" s="2" t="n"/>
      <c r="K27" s="2" t="n"/>
    </row>
    <row r="28" ht="22" customHeight="1">
      <c r="A28" s="43" t="inlineStr">
        <is>
          <t>04/2026</t>
        </is>
      </c>
      <c r="B28" s="44" t="inlineStr">
        <is>
          <t>מסעדות וקפה</t>
        </is>
      </c>
      <c r="C28" s="43" t="inlineStr">
        <is>
          <t>משקה אנרגיה</t>
        </is>
      </c>
      <c r="D28" s="45" t="n">
        <v>11</v>
      </c>
      <c r="E28" s="43" t="inlineStr">
        <is>
          <t>מזומן</t>
        </is>
      </c>
      <c r="F28" s="46" t="inlineStr">
        <is>
          <t>❌ לא</t>
        </is>
      </c>
      <c r="G28" s="43" t="inlineStr"/>
      <c r="H28" s="2" t="n"/>
      <c r="I28" s="2" t="n"/>
      <c r="J28" s="2" t="n"/>
      <c r="K28" s="2" t="n"/>
    </row>
    <row r="29" ht="22" customHeight="1">
      <c r="A29" s="39" t="inlineStr">
        <is>
          <t>04/2026</t>
        </is>
      </c>
      <c r="B29" s="40" t="inlineStr">
        <is>
          <t>מסעדות וקפה</t>
        </is>
      </c>
      <c r="C29" s="39" t="inlineStr">
        <is>
          <t>משקה אנרגיה</t>
        </is>
      </c>
      <c r="D29" s="41" t="n">
        <v>14</v>
      </c>
      <c r="E29" s="39" t="inlineStr">
        <is>
          <t>מזומן</t>
        </is>
      </c>
      <c r="F29" s="42" t="inlineStr">
        <is>
          <t>❌ לא</t>
        </is>
      </c>
      <c r="G29" s="39" t="inlineStr"/>
      <c r="H29" s="2" t="n"/>
      <c r="I29" s="2" t="n"/>
      <c r="J29" s="2" t="n"/>
      <c r="K29" s="2" t="n"/>
    </row>
    <row r="30" ht="22" customHeight="1">
      <c r="A30" s="43" t="inlineStr">
        <is>
          <t>04/2026</t>
        </is>
      </c>
      <c r="B30" s="44" t="inlineStr">
        <is>
          <t>מזון וסופר</t>
        </is>
      </c>
      <c r="C30" s="43" t="inlineStr">
        <is>
          <t>קניות סופר + מברשת שיניים חשמלית</t>
        </is>
      </c>
      <c r="D30" s="45" t="n">
        <v>304</v>
      </c>
      <c r="E30" s="43" t="inlineStr">
        <is>
          <t>לא צוין</t>
        </is>
      </c>
      <c r="F30" s="47" t="inlineStr">
        <is>
          <t>✅ כן</t>
        </is>
      </c>
      <c r="G30" s="43" t="inlineStr"/>
      <c r="H30" s="2" t="n"/>
      <c r="I30" s="2" t="n"/>
      <c r="J30" s="2" t="n"/>
      <c r="K30" s="2" t="n"/>
    </row>
    <row r="31" ht="22" customHeight="1">
      <c r="A31" s="39" t="inlineStr">
        <is>
          <t>04/2026</t>
        </is>
      </c>
      <c r="B31" s="40" t="inlineStr">
        <is>
          <t>בריאות ורפואה</t>
        </is>
      </c>
      <c r="C31" s="39" t="inlineStr">
        <is>
          <t>תספורת</t>
        </is>
      </c>
      <c r="D31" s="41" t="n">
        <v>120</v>
      </c>
      <c r="E31" s="39" t="inlineStr">
        <is>
          <t>מזומן</t>
        </is>
      </c>
      <c r="F31" s="48" t="inlineStr">
        <is>
          <t>✅ כן</t>
        </is>
      </c>
      <c r="G31" s="39" t="inlineStr"/>
      <c r="H31" s="2" t="n"/>
      <c r="I31" s="2" t="n"/>
      <c r="J31" s="2" t="n"/>
      <c r="K31" s="2" t="n"/>
    </row>
    <row r="32" ht="22" customHeight="1">
      <c r="A32" s="43" t="inlineStr">
        <is>
          <t>04/2026</t>
        </is>
      </c>
      <c r="B32" s="44" t="inlineStr">
        <is>
          <t>חינוך</t>
        </is>
      </c>
      <c r="C32" s="43" t="inlineStr">
        <is>
          <t>שיעורי נהיגה - העברה בנקאית</t>
        </is>
      </c>
      <c r="D32" s="45" t="n">
        <v>800</v>
      </c>
      <c r="E32" s="43" t="inlineStr">
        <is>
          <t>העברה בנקאית</t>
        </is>
      </c>
      <c r="F32" s="47" t="inlineStr">
        <is>
          <t>✅ כן</t>
        </is>
      </c>
      <c r="G32" s="43" t="inlineStr"/>
      <c r="H32" s="2" t="n"/>
      <c r="I32" s="2" t="n"/>
      <c r="J32" s="2" t="n"/>
      <c r="K32" s="2" t="n"/>
    </row>
    <row r="33" ht="22" customHeight="1">
      <c r="A33" s="39" t="inlineStr">
        <is>
          <t>18/04/2026</t>
        </is>
      </c>
      <c r="B33" s="40" t="inlineStr">
        <is>
          <t>תחבורה</t>
        </is>
      </c>
      <c r="C33" s="39" t="inlineStr">
        <is>
          <t>מונית</t>
        </is>
      </c>
      <c r="D33" s="41" t="n">
        <v>50</v>
      </c>
      <c r="E33" s="39" t="inlineStr">
        <is>
          <t>לא צוין</t>
        </is>
      </c>
      <c r="F33" s="42" t="inlineStr">
        <is>
          <t>❌ לא</t>
        </is>
      </c>
      <c r="G33" s="39" t="inlineStr"/>
      <c r="H33" s="2" t="n"/>
      <c r="I33" s="2" t="n"/>
      <c r="J33" s="2" t="n"/>
      <c r="K33" s="2" t="n"/>
    </row>
    <row r="34" ht="22" customHeight="1">
      <c r="A34" s="43" t="inlineStr">
        <is>
          <t>18/04/2026</t>
        </is>
      </c>
      <c r="B34" s="44" t="inlineStr">
        <is>
          <t>מסעדות וקפה</t>
        </is>
      </c>
      <c r="C34" s="43" t="inlineStr">
        <is>
          <t>מסעדה</t>
        </is>
      </c>
      <c r="D34" s="45" t="n">
        <v>340</v>
      </c>
      <c r="E34" s="43" t="inlineStr">
        <is>
          <t>לא צוין</t>
        </is>
      </c>
      <c r="F34" s="46" t="inlineStr">
        <is>
          <t>❌ לא</t>
        </is>
      </c>
      <c r="G34" s="43" t="inlineStr"/>
      <c r="H34" s="2" t="n"/>
      <c r="I34" s="2" t="n"/>
      <c r="J34" s="2" t="n"/>
      <c r="K34" s="2" t="n"/>
    </row>
    <row r="35" ht="22" customHeight="1">
      <c r="A35" s="39" t="inlineStr">
        <is>
          <t>18/04/2026</t>
        </is>
      </c>
      <c r="B35" s="40" t="inlineStr">
        <is>
          <t>תחבורה</t>
        </is>
      </c>
      <c r="C35" s="39" t="inlineStr">
        <is>
          <t>מונית</t>
        </is>
      </c>
      <c r="D35" s="41" t="n">
        <v>40</v>
      </c>
      <c r="E35" s="39" t="inlineStr">
        <is>
          <t>לא צוין</t>
        </is>
      </c>
      <c r="F35" s="42" t="inlineStr">
        <is>
          <t>❌ לא</t>
        </is>
      </c>
      <c r="G35" s="39" t="inlineStr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5" customWidth="1" min="5" max="5"/>
    <col width="10" customWidth="1" min="6" max="6"/>
    <col width="15" customWidth="1" min="7" max="7"/>
    <col width="25" customWidth="1" min="8" max="8"/>
  </cols>
  <sheetData>
    <row r="1" ht="35" customHeight="1">
      <c r="A1" s="49" t="inlineStr">
        <is>
          <t>📋  הוצאות קבועות חודשיות</t>
        </is>
      </c>
      <c r="K1" s="2" t="n"/>
    </row>
    <row r="2" ht="26" customHeight="1">
      <c r="A2" s="50" t="inlineStr">
        <is>
          <t>הוצאה</t>
        </is>
      </c>
      <c r="B2" s="50" t="inlineStr">
        <is>
          <t>קטגוריה</t>
        </is>
      </c>
      <c r="C2" s="50" t="inlineStr">
        <is>
          <t>סכום</t>
        </is>
      </c>
      <c r="D2" s="50" t="inlineStr">
        <is>
          <t>יום חיוב</t>
        </is>
      </c>
      <c r="E2" s="50" t="inlineStr">
        <is>
          <t>שיטת תשלום</t>
        </is>
      </c>
      <c r="F2" s="50" t="inlineStr">
        <is>
          <t>חיוני?</t>
        </is>
      </c>
      <c r="G2" s="50" t="inlineStr">
        <is>
          <t>אפשרי לחסוך?</t>
        </is>
      </c>
      <c r="H2" s="50" t="inlineStr">
        <is>
          <t>הערות</t>
        </is>
      </c>
      <c r="I2" s="2" t="n"/>
      <c r="J2" s="2" t="n"/>
      <c r="K2" s="2" t="n"/>
    </row>
    <row r="3" ht="22" customHeight="1">
      <c r="A3" s="51" t="inlineStr">
        <is>
          <t>מנוי Claude AI</t>
        </is>
      </c>
      <c r="B3" s="52" t="inlineStr">
        <is>
          <t>חשבונות קבועים</t>
        </is>
      </c>
      <c r="C3" s="53" t="n">
        <v>88</v>
      </c>
      <c r="D3" s="54" t="inlineStr">
        <is>
          <t>חודשי</t>
        </is>
      </c>
      <c r="E3" s="54" t="inlineStr">
        <is>
          <t>כרטיס אשראי</t>
        </is>
      </c>
      <c r="F3" s="54" t="inlineStr">
        <is>
          <t>✅</t>
        </is>
      </c>
      <c r="G3" s="54" t="inlineStr">
        <is>
          <t>—</t>
        </is>
      </c>
      <c r="H3" s="54" t="inlineStr">
        <is>
          <t>עוזר פיננסי + AI</t>
        </is>
      </c>
      <c r="I3" s="2" t="n"/>
      <c r="J3" s="2" t="n"/>
      <c r="K3" s="2" t="n"/>
    </row>
    <row r="4" ht="22" customHeight="1">
      <c r="A4" s="55" t="inlineStr">
        <is>
          <t>מנוי ChatGPT</t>
        </is>
      </c>
      <c r="B4" s="56" t="inlineStr">
        <is>
          <t>חשבונות קבועים</t>
        </is>
      </c>
      <c r="C4" s="57" t="n">
        <v>71</v>
      </c>
      <c r="D4" s="58" t="inlineStr">
        <is>
          <t>חודשי</t>
        </is>
      </c>
      <c r="E4" s="58" t="inlineStr">
        <is>
          <t>כרטיס אשראי</t>
        </is>
      </c>
      <c r="F4" s="58" t="inlineStr">
        <is>
          <t>❌</t>
        </is>
      </c>
      <c r="G4" s="58" t="inlineStr">
        <is>
          <t>✅</t>
        </is>
      </c>
      <c r="H4" s="58" t="inlineStr">
        <is>
          <t>⚠️ כבר יש Claude — בדוק אם נחוץ</t>
        </is>
      </c>
      <c r="I4" s="2" t="n"/>
      <c r="J4" s="2" t="n"/>
      <c r="K4" s="2" t="n"/>
    </row>
    <row r="5" ht="22" customHeight="1">
      <c r="A5" s="51" t="inlineStr">
        <is>
          <t>מנוי Spotify</t>
        </is>
      </c>
      <c r="B5" s="52" t="inlineStr">
        <is>
          <t>חשבונות קבועים</t>
        </is>
      </c>
      <c r="C5" s="53" t="n">
        <v>36</v>
      </c>
      <c r="D5" s="54" t="inlineStr">
        <is>
          <t>חודשי</t>
        </is>
      </c>
      <c r="E5" s="54" t="inlineStr">
        <is>
          <t>כרטיס אשראי</t>
        </is>
      </c>
      <c r="F5" s="54" t="inlineStr">
        <is>
          <t>❌</t>
        </is>
      </c>
      <c r="G5" s="54" t="inlineStr">
        <is>
          <t>✅</t>
        </is>
      </c>
      <c r="H5" s="54" t="inlineStr">
        <is>
          <t>מוזיקה</t>
        </is>
      </c>
      <c r="I5" s="2" t="n"/>
      <c r="J5" s="2" t="n"/>
      <c r="K5" s="2" t="n"/>
    </row>
    <row r="6" ht="22" customHeight="1">
      <c r="A6" s="55" t="inlineStr">
        <is>
          <t>מאמן כושר - אופק זרמטי</t>
        </is>
      </c>
      <c r="B6" s="56" t="inlineStr">
        <is>
          <t>ספורט</t>
        </is>
      </c>
      <c r="C6" s="57" t="n">
        <v>600</v>
      </c>
      <c r="D6" s="58" t="inlineStr">
        <is>
          <t>חודשי</t>
        </is>
      </c>
      <c r="E6" s="58" t="inlineStr">
        <is>
          <t>העברה בנקאית</t>
        </is>
      </c>
      <c r="F6" s="58" t="inlineStr">
        <is>
          <t>❌</t>
        </is>
      </c>
      <c r="G6" s="58" t="inlineStr">
        <is>
          <t>✅</t>
        </is>
      </c>
      <c r="H6" s="58" t="inlineStr">
        <is>
          <t>אימון אישי</t>
        </is>
      </c>
      <c r="I6" s="2" t="n"/>
      <c r="J6" s="2" t="n"/>
      <c r="K6" s="2" t="n"/>
    </row>
    <row r="7" ht="30" customHeight="1">
      <c r="A7" s="59" t="inlineStr">
        <is>
          <t>סה"כ הוצאות קבועות</t>
        </is>
      </c>
      <c r="C7" s="60" t="n">
        <v>795</v>
      </c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2">
    <mergeCell ref="A1:J1"/>
    <mergeCell ref="A7:B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2" customWidth="1" min="5" max="5"/>
    <col width="14" customWidth="1" min="6" max="6"/>
  </cols>
  <sheetData>
    <row r="1" ht="35" customHeight="1">
      <c r="A1" s="61" t="inlineStr">
        <is>
          <t>🎯  תוכנית תקציב חודשית</t>
        </is>
      </c>
      <c r="K1" s="2" t="n"/>
    </row>
    <row r="2" ht="26" customHeight="1">
      <c r="A2" s="62" t="inlineStr">
        <is>
          <t>קטגוריה</t>
        </is>
      </c>
      <c r="B2" s="62" t="inlineStr">
        <is>
          <t>תקציב מתוכנן</t>
        </is>
      </c>
      <c r="C2" s="62" t="inlineStr">
        <is>
          <t>הוצאה בפועל</t>
        </is>
      </c>
      <c r="D2" s="62" t="inlineStr">
        <is>
          <t>הפרש</t>
        </is>
      </c>
      <c r="E2" s="62" t="inlineStr">
        <is>
          <t>% ניצול</t>
        </is>
      </c>
      <c r="F2" s="62" t="inlineStr">
        <is>
          <t>סטטוס</t>
        </is>
      </c>
      <c r="G2" s="2" t="n"/>
      <c r="H2" s="2" t="n"/>
      <c r="I2" s="2" t="n"/>
      <c r="J2" s="2" t="n"/>
      <c r="K2" s="2" t="n"/>
    </row>
    <row r="3" ht="22" customHeight="1">
      <c r="A3" s="63" t="inlineStr">
        <is>
          <t>🛒 מזון וסופר</t>
        </is>
      </c>
      <c r="B3" s="64" t="n">
        <v>350</v>
      </c>
      <c r="C3" s="65" t="n">
        <v>368</v>
      </c>
      <c r="D3" s="66" t="n">
        <v>-18</v>
      </c>
      <c r="E3" s="67" t="n">
        <v>1.051428571428571</v>
      </c>
      <c r="F3" s="28" t="inlineStr">
        <is>
          <t>⚠️ קרוב לגבול</t>
        </is>
      </c>
      <c r="G3" s="2" t="n"/>
      <c r="H3" s="2" t="n"/>
      <c r="I3" s="2" t="n"/>
      <c r="J3" s="2" t="n"/>
      <c r="K3" s="2" t="n"/>
    </row>
    <row r="4" ht="22" customHeight="1">
      <c r="A4" s="68" t="inlineStr">
        <is>
          <t>☕ מסעדות וקפה</t>
        </is>
      </c>
      <c r="B4" s="69" t="n">
        <v>200</v>
      </c>
      <c r="C4" s="70" t="n">
        <v>1151</v>
      </c>
      <c r="D4" s="71" t="n">
        <v>-951</v>
      </c>
      <c r="E4" s="72" t="n">
        <v>5.755</v>
      </c>
      <c r="F4" s="73" t="inlineStr">
        <is>
          <t>🔴 חרג!</t>
        </is>
      </c>
      <c r="G4" s="2" t="n"/>
      <c r="H4" s="2" t="n"/>
      <c r="I4" s="2" t="n"/>
      <c r="J4" s="2" t="n"/>
      <c r="K4" s="2" t="n"/>
    </row>
    <row r="5" ht="22" customHeight="1">
      <c r="A5" s="63" t="inlineStr">
        <is>
          <t>🚗 תחבורה</t>
        </is>
      </c>
      <c r="B5" s="64" t="n">
        <v>150</v>
      </c>
      <c r="C5" s="74" t="n">
        <v>90</v>
      </c>
      <c r="D5" s="75" t="n">
        <v>60</v>
      </c>
      <c r="E5" s="67" t="n">
        <v>0.6</v>
      </c>
      <c r="F5" s="76" t="inlineStr">
        <is>
          <t>✅ בתקציב</t>
        </is>
      </c>
      <c r="G5" s="2" t="n"/>
      <c r="H5" s="2" t="n"/>
      <c r="I5" s="2" t="n"/>
      <c r="J5" s="2" t="n"/>
      <c r="K5" s="2" t="n"/>
    </row>
    <row r="6" ht="22" customHeight="1">
      <c r="A6" s="68" t="inlineStr">
        <is>
          <t>🎮 בילויים</t>
        </is>
      </c>
      <c r="B6" s="69" t="n">
        <v>150</v>
      </c>
      <c r="C6" s="77" t="n">
        <v>66</v>
      </c>
      <c r="D6" s="78" t="n">
        <v>84</v>
      </c>
      <c r="E6" s="72" t="n">
        <v>0.44</v>
      </c>
      <c r="F6" s="76" t="inlineStr">
        <is>
          <t>✅ בתקציב</t>
        </is>
      </c>
      <c r="G6" s="2" t="n"/>
      <c r="H6" s="2" t="n"/>
      <c r="I6" s="2" t="n"/>
      <c r="J6" s="2" t="n"/>
      <c r="K6" s="2" t="n"/>
    </row>
    <row r="7" ht="22" customHeight="1">
      <c r="A7" s="63" t="inlineStr">
        <is>
          <t>🏥 בריאות ורפואה</t>
        </is>
      </c>
      <c r="B7" s="64" t="n">
        <v>80</v>
      </c>
      <c r="C7" s="65" t="n">
        <v>120</v>
      </c>
      <c r="D7" s="66" t="n">
        <v>-40</v>
      </c>
      <c r="E7" s="67" t="n">
        <v>1.5</v>
      </c>
      <c r="F7" s="73" t="inlineStr">
        <is>
          <t>🔴 חרג!</t>
        </is>
      </c>
      <c r="G7" s="2" t="n"/>
      <c r="H7" s="2" t="n"/>
      <c r="I7" s="2" t="n"/>
      <c r="J7" s="2" t="n"/>
      <c r="K7" s="2" t="n"/>
    </row>
    <row r="8" ht="22" customHeight="1">
      <c r="A8" s="68" t="inlineStr">
        <is>
          <t>👕 ביגוד והנעלה</t>
        </is>
      </c>
      <c r="B8" s="69" t="n">
        <v>100</v>
      </c>
      <c r="C8" s="77" t="n">
        <v>31</v>
      </c>
      <c r="D8" s="78" t="n">
        <v>69</v>
      </c>
      <c r="E8" s="72" t="n">
        <v>0.31</v>
      </c>
      <c r="F8" s="76" t="inlineStr">
        <is>
          <t>✅ בתקציב</t>
        </is>
      </c>
      <c r="G8" s="2" t="n"/>
      <c r="H8" s="2" t="n"/>
      <c r="I8" s="2" t="n"/>
      <c r="J8" s="2" t="n"/>
      <c r="K8" s="2" t="n"/>
    </row>
    <row r="9" ht="22" customHeight="1">
      <c r="A9" s="63" t="inlineStr">
        <is>
          <t>📋 חשבונות קבועים</t>
        </is>
      </c>
      <c r="B9" s="64" t="n">
        <v>200</v>
      </c>
      <c r="C9" s="65" t="n">
        <v>203</v>
      </c>
      <c r="D9" s="66" t="n">
        <v>-3</v>
      </c>
      <c r="E9" s="67" t="n">
        <v>1.015</v>
      </c>
      <c r="F9" s="28" t="inlineStr">
        <is>
          <t>⚠️ קרוב לגבול</t>
        </is>
      </c>
      <c r="G9" s="2" t="n"/>
      <c r="H9" s="2" t="n"/>
      <c r="I9" s="2" t="n"/>
      <c r="J9" s="2" t="n"/>
      <c r="K9" s="2" t="n"/>
    </row>
    <row r="10" ht="22" customHeight="1">
      <c r="A10" s="68" t="inlineStr">
        <is>
          <t>🏠 שכר דירה</t>
        </is>
      </c>
      <c r="B10" s="69" t="n">
        <v>0</v>
      </c>
      <c r="C10" s="77" t="n">
        <v>0</v>
      </c>
      <c r="D10" s="78" t="n">
        <v>0</v>
      </c>
      <c r="E10" s="72" t="n">
        <v>0</v>
      </c>
      <c r="F10" s="76" t="inlineStr">
        <is>
          <t>✅ בתקציב</t>
        </is>
      </c>
      <c r="G10" s="2" t="n"/>
      <c r="H10" s="2" t="n"/>
      <c r="I10" s="2" t="n"/>
      <c r="J10" s="2" t="n"/>
      <c r="K10" s="2" t="n"/>
    </row>
    <row r="11" ht="22" customHeight="1">
      <c r="A11" s="63" t="inlineStr">
        <is>
          <t>📚 חינוך</t>
        </is>
      </c>
      <c r="B11" s="64" t="n">
        <v>300</v>
      </c>
      <c r="C11" s="65" t="n">
        <v>1100</v>
      </c>
      <c r="D11" s="66" t="n">
        <v>-800</v>
      </c>
      <c r="E11" s="67" t="n">
        <v>3.666666666666667</v>
      </c>
      <c r="F11" s="73" t="inlineStr">
        <is>
          <t>🔴 חרג!</t>
        </is>
      </c>
      <c r="G11" s="2" t="n"/>
      <c r="H11" s="2" t="n"/>
      <c r="I11" s="2" t="n"/>
      <c r="J11" s="2" t="n"/>
      <c r="K11" s="2" t="n"/>
    </row>
    <row r="12" ht="22" customHeight="1">
      <c r="A12" s="68" t="inlineStr">
        <is>
          <t>💪 ספורט</t>
        </is>
      </c>
      <c r="B12" s="69" t="n">
        <v>600</v>
      </c>
      <c r="C12" s="77" t="n">
        <v>600</v>
      </c>
      <c r="D12" s="78" t="n">
        <v>0</v>
      </c>
      <c r="E12" s="72" t="n">
        <v>1</v>
      </c>
      <c r="F12" s="76" t="inlineStr">
        <is>
          <t>✅ בתקציב</t>
        </is>
      </c>
      <c r="G12" s="2" t="n"/>
      <c r="H12" s="2" t="n"/>
      <c r="I12" s="2" t="n"/>
      <c r="J12" s="2" t="n"/>
      <c r="K12" s="2" t="n"/>
    </row>
    <row r="13" ht="22" customHeight="1">
      <c r="A13" s="63" t="inlineStr">
        <is>
          <t>🎁 מתנות</t>
        </is>
      </c>
      <c r="B13" s="64" t="n">
        <v>200</v>
      </c>
      <c r="C13" s="65" t="n">
        <v>860</v>
      </c>
      <c r="D13" s="66" t="n">
        <v>-660</v>
      </c>
      <c r="E13" s="67" t="n">
        <v>4.3</v>
      </c>
      <c r="F13" s="73" t="inlineStr">
        <is>
          <t>🔴 חרג!</t>
        </is>
      </c>
      <c r="G13" s="2" t="n"/>
      <c r="H13" s="2" t="n"/>
      <c r="I13" s="2" t="n"/>
      <c r="J13" s="2" t="n"/>
      <c r="K13" s="2" t="n"/>
    </row>
    <row r="14" ht="22" customHeight="1">
      <c r="A14" s="68" t="inlineStr">
        <is>
          <t>💰 חיסכון</t>
        </is>
      </c>
      <c r="B14" s="69" t="n">
        <v>1000</v>
      </c>
      <c r="C14" s="77" t="n">
        <v>0</v>
      </c>
      <c r="D14" s="78" t="n">
        <v>1000</v>
      </c>
      <c r="E14" s="72" t="n">
        <v>0</v>
      </c>
      <c r="F14" s="76" t="inlineStr">
        <is>
          <t>✅ בתקציב</t>
        </is>
      </c>
      <c r="G14" s="2" t="n"/>
      <c r="H14" s="2" t="n"/>
      <c r="I14" s="2" t="n"/>
      <c r="J14" s="2" t="n"/>
      <c r="K14" s="2" t="n"/>
    </row>
    <row r="15" ht="22" customHeight="1">
      <c r="A15" s="63" t="inlineStr">
        <is>
          <t>📈 השקעות</t>
        </is>
      </c>
      <c r="B15" s="64" t="n">
        <v>0</v>
      </c>
      <c r="C15" s="74" t="n">
        <v>0</v>
      </c>
      <c r="D15" s="75" t="n">
        <v>0</v>
      </c>
      <c r="E15" s="67" t="n">
        <v>0</v>
      </c>
      <c r="F15" s="76" t="inlineStr">
        <is>
          <t>✅ בתקציב</t>
        </is>
      </c>
      <c r="G15" s="2" t="n"/>
      <c r="H15" s="2" t="n"/>
      <c r="I15" s="2" t="n"/>
      <c r="J15" s="2" t="n"/>
      <c r="K15" s="2" t="n"/>
    </row>
    <row r="16" ht="22" customHeight="1">
      <c r="A16" s="68" t="inlineStr">
        <is>
          <t>💳 אחר</t>
        </is>
      </c>
      <c r="B16" s="69" t="n">
        <v>150</v>
      </c>
      <c r="C16" s="70" t="n">
        <v>923</v>
      </c>
      <c r="D16" s="71" t="n">
        <v>-773</v>
      </c>
      <c r="E16" s="72" t="n">
        <v>6.153333333333333</v>
      </c>
      <c r="F16" s="73" t="inlineStr">
        <is>
          <t>🔴 חרג!</t>
        </is>
      </c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N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4" customWidth="1" min="4" max="4"/>
    <col width="16" customWidth="1" min="5" max="5"/>
    <col width="14" customWidth="1" min="6" max="6"/>
  </cols>
  <sheetData>
    <row r="1" ht="35" customHeight="1">
      <c r="A1" s="79" t="inlineStr">
        <is>
          <t>📈  ניתוח הוצאות לפי קטגוריות</t>
        </is>
      </c>
    </row>
    <row r="2" ht="26" customHeight="1">
      <c r="A2" s="80" t="inlineStr">
        <is>
          <t>קטגוריה</t>
        </is>
      </c>
      <c r="B2" s="80" t="inlineStr">
        <is>
          <t>סה"כ החודש</t>
        </is>
      </c>
      <c r="C2" s="80" t="inlineStr">
        <is>
          <t>% מסה"כ</t>
        </is>
      </c>
      <c r="D2" s="80" t="inlineStr">
        <is>
          <t>ממוצע יומי</t>
        </is>
      </c>
      <c r="E2" s="80" t="inlineStr">
        <is>
          <t>מספר עסקאות</t>
        </is>
      </c>
      <c r="F2" s="80" t="inlineStr">
        <is>
          <t>הכי גבוה</t>
        </is>
      </c>
      <c r="G2" s="2" t="n"/>
      <c r="H2" s="2" t="n"/>
      <c r="I2" s="2" t="n"/>
      <c r="J2" s="2" t="n"/>
      <c r="K2" s="2" t="n"/>
      <c r="L2" s="2" t="n"/>
      <c r="M2" s="2" t="n"/>
      <c r="N2" s="2" t="n"/>
    </row>
    <row r="3" ht="22" customHeight="1">
      <c r="A3" s="81" t="inlineStr">
        <is>
          <t>🎁 מתנות</t>
        </is>
      </c>
      <c r="B3" s="82" t="n">
        <v>860</v>
      </c>
      <c r="C3" s="83" t="n">
        <v>0.1586130579122095</v>
      </c>
      <c r="D3" s="84" t="n">
        <v>47.77777777777778</v>
      </c>
      <c r="E3" s="85" t="n">
        <v>4</v>
      </c>
      <c r="F3" s="86" t="n">
        <v>415</v>
      </c>
      <c r="G3" s="2" t="n"/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87" t="inlineStr">
        <is>
          <t>☕ מסעדות וקפה</t>
        </is>
      </c>
      <c r="B4" s="88" t="n">
        <v>1151</v>
      </c>
      <c r="C4" s="89" t="n">
        <v>0.2122832902987827</v>
      </c>
      <c r="D4" s="90" t="n">
        <v>63.94444444444444</v>
      </c>
      <c r="E4" s="91" t="n">
        <v>15</v>
      </c>
      <c r="F4" s="92" t="n">
        <v>340</v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2" customHeight="1">
      <c r="A5" s="81" t="inlineStr">
        <is>
          <t>🛒 מזון וסופר</t>
        </is>
      </c>
      <c r="B5" s="93" t="n">
        <v>368</v>
      </c>
      <c r="C5" s="83" t="n">
        <v>0.06787163408336407</v>
      </c>
      <c r="D5" s="84" t="n">
        <v>20.44444444444444</v>
      </c>
      <c r="E5" s="85" t="n">
        <v>2</v>
      </c>
      <c r="F5" s="86" t="n">
        <v>304</v>
      </c>
      <c r="G5" s="2" t="n"/>
      <c r="H5" s="2" t="n"/>
      <c r="I5" s="2" t="n"/>
      <c r="J5" s="2" t="n"/>
      <c r="K5" s="2" t="n"/>
      <c r="L5" s="2" t="n"/>
      <c r="M5" s="2" t="n"/>
      <c r="N5" s="2" t="n"/>
    </row>
    <row r="6" ht="22" customHeight="1">
      <c r="A6" s="87" t="inlineStr">
        <is>
          <t>📋 חשבונות קבועים</t>
        </is>
      </c>
      <c r="B6" s="94" t="n">
        <v>203</v>
      </c>
      <c r="C6" s="89" t="n">
        <v>0.03744005901881225</v>
      </c>
      <c r="D6" s="90" t="n">
        <v>11.27777777777778</v>
      </c>
      <c r="E6" s="91" t="n">
        <v>4</v>
      </c>
      <c r="F6" s="92" t="n">
        <v>88</v>
      </c>
      <c r="G6" s="2" t="n"/>
      <c r="H6" s="2" t="n"/>
      <c r="I6" s="2" t="n"/>
      <c r="J6" s="2" t="n"/>
      <c r="K6" s="2" t="n"/>
      <c r="L6" s="2" t="n"/>
      <c r="M6" s="2" t="n"/>
      <c r="N6" s="2" t="n"/>
    </row>
    <row r="7" ht="22" customHeight="1">
      <c r="A7" s="81" t="inlineStr">
        <is>
          <t>🎮 בילויים</t>
        </is>
      </c>
      <c r="B7" s="95" t="n">
        <v>66</v>
      </c>
      <c r="C7" s="83" t="n">
        <v>0.01217263002582073</v>
      </c>
      <c r="D7" s="84" t="n">
        <v>3.666666666666667</v>
      </c>
      <c r="E7" s="85" t="n">
        <v>1</v>
      </c>
      <c r="F7" s="86" t="n">
        <v>66</v>
      </c>
      <c r="G7" s="2" t="n"/>
      <c r="H7" s="2" t="n"/>
      <c r="I7" s="2" t="n"/>
      <c r="J7" s="2" t="n"/>
      <c r="K7" s="2" t="n"/>
      <c r="L7" s="2" t="n"/>
      <c r="M7" s="2" t="n"/>
      <c r="N7" s="2" t="n"/>
    </row>
    <row r="8" ht="22" customHeight="1">
      <c r="A8" s="87" t="inlineStr">
        <is>
          <t>💳 אחר</t>
        </is>
      </c>
      <c r="B8" s="96" t="n">
        <v>923</v>
      </c>
      <c r="C8" s="89" t="n">
        <v>0.1702323865732202</v>
      </c>
      <c r="D8" s="90" t="n">
        <v>51.27777777777778</v>
      </c>
      <c r="E8" s="91" t="n">
        <v>4</v>
      </c>
      <c r="F8" s="92" t="n">
        <v>365</v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81" t="inlineStr">
        <is>
          <t>👕 ביגוד והנעלה</t>
        </is>
      </c>
      <c r="B9" s="97" t="n">
        <v>31</v>
      </c>
      <c r="C9" s="83" t="n">
        <v>0.005717447436370343</v>
      </c>
      <c r="D9" s="84" t="n">
        <v>1.722222222222222</v>
      </c>
      <c r="E9" s="85" t="n">
        <v>1</v>
      </c>
      <c r="F9" s="86" t="n">
        <v>31</v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87" t="inlineStr">
        <is>
          <t>🏥 בריאות ורפואה</t>
        </is>
      </c>
      <c r="B10" s="98" t="n">
        <v>120</v>
      </c>
      <c r="C10" s="89" t="n">
        <v>0.02213205459240133</v>
      </c>
      <c r="D10" s="90" t="n">
        <v>6.666666666666667</v>
      </c>
      <c r="E10" s="91" t="n">
        <v>1</v>
      </c>
      <c r="F10" s="92" t="n">
        <v>120</v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81" t="inlineStr">
        <is>
          <t>📚 חינוך</t>
        </is>
      </c>
      <c r="B11" s="82" t="n">
        <v>1100</v>
      </c>
      <c r="C11" s="83" t="n">
        <v>0.2028771670970122</v>
      </c>
      <c r="D11" s="84" t="n">
        <v>61.11111111111111</v>
      </c>
      <c r="E11" s="85" t="n">
        <v>2</v>
      </c>
      <c r="F11" s="86" t="n">
        <v>800</v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2" customHeight="1">
      <c r="A12" s="87" t="inlineStr">
        <is>
          <t>💪 ספורט</t>
        </is>
      </c>
      <c r="B12" s="88" t="n">
        <v>600</v>
      </c>
      <c r="C12" s="89" t="n">
        <v>0.1106602729620066</v>
      </c>
      <c r="D12" s="90" t="n">
        <v>33.33333333333334</v>
      </c>
      <c r="E12" s="91" t="n">
        <v>1</v>
      </c>
      <c r="F12" s="92" t="n">
        <v>600</v>
      </c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30" customHeight="1">
      <c r="A13" s="99" t="inlineStr">
        <is>
          <t>סה"כ</t>
        </is>
      </c>
      <c r="B13" s="100" t="n">
        <v>5422</v>
      </c>
      <c r="C13" s="101" t="n">
        <v>1</v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</sheetData>
  <mergeCells count="2">
    <mergeCell ref="A13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7A589"/>
    <outlinePr summaryBelow="1" summaryRight="1"/>
    <pageSetUpPr/>
  </sheetPr>
  <dimension ref="A1:O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12" customWidth="1" min="10" max="10"/>
    <col width="14" customWidth="1" min="11" max="11"/>
    <col width="25" customWidth="1" min="12" max="12"/>
  </cols>
  <sheetData>
    <row r="1" ht="35" customHeight="1">
      <c r="A1" s="102" t="inlineStr">
        <is>
          <t>📄  יומן תלושי שכר</t>
        </is>
      </c>
    </row>
    <row r="2" ht="26" customHeight="1">
      <c r="A2" s="103" t="inlineStr">
        <is>
          <t>חודש</t>
        </is>
      </c>
      <c r="B2" s="103" t="inlineStr">
        <is>
          <t>מעסיק</t>
        </is>
      </c>
      <c r="C2" s="103" t="inlineStr">
        <is>
          <t>ברוטו</t>
        </is>
      </c>
      <c r="D2" s="103" t="inlineStr">
        <is>
          <t>נטו</t>
        </is>
      </c>
      <c r="E2" s="103" t="inlineStr">
        <is>
          <t>מס הכנסה</t>
        </is>
      </c>
      <c r="F2" s="103" t="inlineStr">
        <is>
          <t>ביטוח לאומי</t>
        </is>
      </c>
      <c r="G2" s="103" t="inlineStr">
        <is>
          <t>בריאות</t>
        </is>
      </c>
      <c r="H2" s="103" t="inlineStr">
        <is>
          <t>קרן פנסיה</t>
        </is>
      </c>
      <c r="I2" s="103" t="inlineStr">
        <is>
          <t>קרן השתלמות</t>
        </is>
      </c>
      <c r="J2" s="103" t="inlineStr">
        <is>
          <t>נסיעות</t>
        </is>
      </c>
      <c r="K2" s="103" t="inlineStr">
        <is>
          <t>שעות נוספות</t>
        </is>
      </c>
      <c r="L2" s="103" t="inlineStr">
        <is>
          <t>הערות</t>
        </is>
      </c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7A589"/>
    <outlinePr summaryBelow="1" summaryRight="1"/>
    <pageSetUpPr/>
  </sheetPr>
  <dimension ref="A1:L8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4" customWidth="1" min="4" max="4"/>
    <col width="35" customWidth="1" min="5" max="5"/>
  </cols>
  <sheetData>
    <row r="1" ht="35" customHeight="1">
      <c r="A1" s="102" t="inlineStr">
        <is>
          <t>🗓️  תכנון פיננסי — חודש הבא</t>
        </is>
      </c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8" customHeight="1">
      <c r="A3" s="29" t="inlineStr">
        <is>
          <t>💵  הכנסות צפויות</t>
        </is>
      </c>
    </row>
    <row r="4" ht="24" customHeight="1">
      <c r="A4" s="30" t="inlineStr">
        <is>
          <t>מקור</t>
        </is>
      </c>
      <c r="B4" s="30" t="inlineStr">
        <is>
          <t>סכום צפוי</t>
        </is>
      </c>
      <c r="C4" s="30" t="inlineStr">
        <is>
          <t>תאריך</t>
        </is>
      </c>
      <c r="D4" s="30" t="inlineStr">
        <is>
          <t>הערות</t>
        </is>
      </c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31" t="inlineStr">
        <is>
          <t>צבא</t>
        </is>
      </c>
      <c r="B5" s="104" t="n">
        <v>1462</v>
      </c>
      <c r="C5" s="31" t="inlineStr">
        <is>
          <t>1 לחודש</t>
        </is>
      </c>
      <c r="D5" s="31" t="inlineStr">
        <is>
          <t>קבוע</t>
        </is>
      </c>
      <c r="E5" s="2" t="n"/>
      <c r="F5" s="2" t="n"/>
      <c r="G5" s="2" t="n"/>
      <c r="H5" s="2" t="n"/>
      <c r="I5" s="2" t="n"/>
      <c r="J5" s="2" t="n"/>
      <c r="K5" s="2" t="n"/>
      <c r="L5" s="2" t="n"/>
    </row>
    <row r="6" ht="22" customHeight="1">
      <c r="A6" s="34" t="inlineStr">
        <is>
          <t>עבודה</t>
        </is>
      </c>
      <c r="B6" s="105" t="inlineStr">
        <is>
          <t>?</t>
        </is>
      </c>
      <c r="C6" s="34" t="inlineStr">
        <is>
          <t>10 לחודש</t>
        </is>
      </c>
      <c r="D6" s="34" t="inlineStr">
        <is>
          <t>⚠️ משתנה — עדכן בתחילת חודש</t>
        </is>
      </c>
      <c r="E6" s="2" t="n"/>
      <c r="F6" s="2" t="n"/>
      <c r="G6" s="2" t="n"/>
      <c r="H6" s="2" t="n"/>
      <c r="I6" s="2" t="n"/>
      <c r="J6" s="2" t="n"/>
      <c r="K6" s="2" t="n"/>
      <c r="L6" s="2" t="n"/>
    </row>
    <row r="7" ht="22" customHeight="1">
      <c r="A7" s="106" t="inlineStr">
        <is>
          <t>סה"כ צפוי</t>
        </is>
      </c>
      <c r="B7" s="106">
        <f>B5+B6</f>
        <v/>
      </c>
      <c r="C7" s="107" t="inlineStr"/>
      <c r="D7" s="107" t="inlineStr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8" customHeight="1">
      <c r="A10" s="108" t="inlineStr">
        <is>
          <t>🎯  תקציב מתוכנן — לפי לקחים מהחודש הנוכחי</t>
        </is>
      </c>
    </row>
    <row r="11" ht="24" customHeight="1">
      <c r="A11" s="62" t="inlineStr">
        <is>
          <t>קטגוריה</t>
        </is>
      </c>
      <c r="B11" s="62" t="inlineStr">
        <is>
          <t>הוצאה החודש</t>
        </is>
      </c>
      <c r="C11" s="62" t="inlineStr">
        <is>
          <t>תקציב מומלץ</t>
        </is>
      </c>
      <c r="D11" s="62" t="inlineStr">
        <is>
          <t>הפרש</t>
        </is>
      </c>
      <c r="E11" s="62" t="inlineStr">
        <is>
          <t>הסבר</t>
        </is>
      </c>
      <c r="F11" s="2" t="n"/>
      <c r="G11" s="2" t="n"/>
      <c r="H11" s="2" t="n"/>
      <c r="I11" s="2" t="n"/>
      <c r="J11" s="2" t="n"/>
      <c r="K11" s="2" t="n"/>
      <c r="L11" s="2" t="n"/>
    </row>
    <row r="12" ht="22" customHeight="1">
      <c r="A12" s="63" t="inlineStr">
        <is>
          <t>🛒 מזון וסופר</t>
        </is>
      </c>
      <c r="B12" s="65" t="n">
        <v>368</v>
      </c>
      <c r="C12" s="64" t="n">
        <v>350</v>
      </c>
      <c r="D12" s="109" t="n">
        <v>-18</v>
      </c>
      <c r="E12" s="110" t="inlineStr">
        <is>
          <t>✅ סביר — נסה להישאר מתחת ל-350₪</t>
        </is>
      </c>
      <c r="F12" s="2" t="n"/>
      <c r="G12" s="2" t="n"/>
      <c r="H12" s="2" t="n"/>
      <c r="I12" s="2" t="n"/>
      <c r="J12" s="2" t="n"/>
      <c r="K12" s="2" t="n"/>
      <c r="L12" s="2" t="n"/>
    </row>
    <row r="13" ht="22" customHeight="1">
      <c r="A13" s="68" t="inlineStr">
        <is>
          <t>☕ מסעדות וקפה</t>
        </is>
      </c>
      <c r="B13" s="70" t="n">
        <v>1151</v>
      </c>
      <c r="C13" s="69" t="n">
        <v>200</v>
      </c>
      <c r="D13" s="109" t="n">
        <v>-951</v>
      </c>
      <c r="E13" s="111" t="inlineStr">
        <is>
          <t>⚠️ הוצאת 811₪! הגבל ל-200₪ — בשל, תכין אוכל</t>
        </is>
      </c>
      <c r="F13" s="2" t="n"/>
      <c r="G13" s="2" t="n"/>
      <c r="H13" s="2" t="n"/>
      <c r="I13" s="2" t="n"/>
      <c r="J13" s="2" t="n"/>
      <c r="K13" s="2" t="n"/>
      <c r="L13" s="2" t="n"/>
    </row>
    <row r="14" ht="22" customHeight="1">
      <c r="A14" s="63" t="inlineStr">
        <is>
          <t>🚗 תחבורה</t>
        </is>
      </c>
      <c r="B14" s="112" t="n">
        <v>90</v>
      </c>
      <c r="C14" s="64" t="n">
        <v>150</v>
      </c>
      <c r="D14" s="113" t="n">
        <v>60</v>
      </c>
      <c r="E14" s="110" t="inlineStr">
        <is>
          <t>לא הוצאת — האם יש לך נסיעות?</t>
        </is>
      </c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68" t="inlineStr">
        <is>
          <t>🎮 בילויים</t>
        </is>
      </c>
      <c r="B15" s="114" t="n">
        <v>66</v>
      </c>
      <c r="C15" s="69" t="n">
        <v>150</v>
      </c>
      <c r="D15" s="113" t="n">
        <v>84</v>
      </c>
      <c r="E15" s="111" t="inlineStr">
        <is>
          <t>✅ 66₪ — סביר</t>
        </is>
      </c>
      <c r="F15" s="2" t="n"/>
      <c r="G15" s="2" t="n"/>
      <c r="H15" s="2" t="n"/>
      <c r="I15" s="2" t="n"/>
      <c r="J15" s="2" t="n"/>
      <c r="K15" s="2" t="n"/>
      <c r="L15" s="2" t="n"/>
    </row>
    <row r="16" ht="22" customHeight="1">
      <c r="A16" s="63" t="inlineStr">
        <is>
          <t>🏥 בריאות ורפואה</t>
        </is>
      </c>
      <c r="B16" s="65" t="n">
        <v>120</v>
      </c>
      <c r="C16" s="64" t="n">
        <v>80</v>
      </c>
      <c r="D16" s="109" t="n">
        <v>-40</v>
      </c>
      <c r="E16" s="110" t="inlineStr">
        <is>
          <t>✅ 120₪ — סביר</t>
        </is>
      </c>
      <c r="F16" s="2" t="n"/>
      <c r="G16" s="2" t="n"/>
      <c r="H16" s="2" t="n"/>
      <c r="I16" s="2" t="n"/>
      <c r="J16" s="2" t="n"/>
      <c r="K16" s="2" t="n"/>
      <c r="L16" s="2" t="n"/>
    </row>
    <row r="17" ht="22" customHeight="1">
      <c r="A17" s="68" t="inlineStr">
        <is>
          <t>👕 ביגוד והנעלה</t>
        </is>
      </c>
      <c r="B17" s="114" t="n">
        <v>31</v>
      </c>
      <c r="C17" s="69" t="n">
        <v>100</v>
      </c>
      <c r="D17" s="113" t="n">
        <v>69</v>
      </c>
      <c r="E17" s="111" t="inlineStr">
        <is>
          <t>✅ 31₪ — מצוין</t>
        </is>
      </c>
      <c r="F17" s="2" t="n"/>
      <c r="G17" s="2" t="n"/>
      <c r="H17" s="2" t="n"/>
      <c r="I17" s="2" t="n"/>
      <c r="J17" s="2" t="n"/>
      <c r="K17" s="2" t="n"/>
      <c r="L17" s="2" t="n"/>
    </row>
    <row r="18" ht="22" customHeight="1">
      <c r="A18" s="63" t="inlineStr">
        <is>
          <t>📋 חשבונות קבועים</t>
        </is>
      </c>
      <c r="B18" s="65" t="n">
        <v>203</v>
      </c>
      <c r="C18" s="64" t="n">
        <v>200</v>
      </c>
      <c r="D18" s="109" t="n">
        <v>-3</v>
      </c>
      <c r="E18" s="110" t="inlineStr">
        <is>
          <t>שקול לבטל ChatGPT (71₪) — חסוך 71₪/חודש</t>
        </is>
      </c>
      <c r="F18" s="2" t="n"/>
      <c r="G18" s="2" t="n"/>
      <c r="H18" s="2" t="n"/>
      <c r="I18" s="2" t="n"/>
      <c r="J18" s="2" t="n"/>
      <c r="K18" s="2" t="n"/>
      <c r="L18" s="2" t="n"/>
    </row>
    <row r="19" ht="22" customHeight="1">
      <c r="A19" s="68" t="inlineStr">
        <is>
          <t>💪 ספורט</t>
        </is>
      </c>
      <c r="B19" s="114" t="n">
        <v>600</v>
      </c>
      <c r="C19" s="69" t="n">
        <v>600</v>
      </c>
      <c r="D19" s="113" t="n">
        <v>0</v>
      </c>
      <c r="E19" s="111" t="inlineStr">
        <is>
          <t>מאמן אישי — 600₪ קבוע</t>
        </is>
      </c>
      <c r="F19" s="2" t="n"/>
      <c r="G19" s="2" t="n"/>
      <c r="H19" s="2" t="n"/>
      <c r="I19" s="2" t="n"/>
      <c r="J19" s="2" t="n"/>
      <c r="K19" s="2" t="n"/>
      <c r="L19" s="2" t="n"/>
    </row>
    <row r="20" ht="22" customHeight="1">
      <c r="A20" s="63" t="inlineStr">
        <is>
          <t>💰 חיסכון</t>
        </is>
      </c>
      <c r="B20" s="112" t="n">
        <v>0</v>
      </c>
      <c r="C20" s="64" t="n">
        <v>1000</v>
      </c>
      <c r="D20" s="113" t="n">
        <v>1000</v>
      </c>
      <c r="E20" s="110" t="inlineStr">
        <is>
          <t>💰 הפרש 1,000₪ אוטומטית ב-1 לחודש!</t>
        </is>
      </c>
      <c r="F20" s="2" t="n"/>
      <c r="G20" s="2" t="n"/>
      <c r="H20" s="2" t="n"/>
      <c r="I20" s="2" t="n"/>
      <c r="J20" s="2" t="n"/>
      <c r="K20" s="2" t="n"/>
      <c r="L20" s="2" t="n"/>
    </row>
    <row r="21" ht="22" customHeight="1">
      <c r="A21" s="68" t="inlineStr">
        <is>
          <t>🎁 מתנות</t>
        </is>
      </c>
      <c r="B21" s="70" t="n">
        <v>860</v>
      </c>
      <c r="C21" s="69" t="n">
        <v>200</v>
      </c>
      <c r="D21" s="109" t="n">
        <v>-660</v>
      </c>
      <c r="E21" s="111" t="inlineStr">
        <is>
          <t>⚠️ 860₪ החודש! הגדר 200₪ תקרה לחודש הבא</t>
        </is>
      </c>
      <c r="F21" s="2" t="n"/>
      <c r="G21" s="2" t="n"/>
      <c r="H21" s="2" t="n"/>
      <c r="I21" s="2" t="n"/>
      <c r="J21" s="2" t="n"/>
      <c r="K21" s="2" t="n"/>
      <c r="L21" s="2" t="n"/>
    </row>
    <row r="22" ht="22" customHeight="1">
      <c r="A22" s="63" t="inlineStr">
        <is>
          <t>📚 חינוך</t>
        </is>
      </c>
      <c r="B22" s="65" t="n">
        <v>1100</v>
      </c>
      <c r="C22" s="64" t="n">
        <v>300</v>
      </c>
      <c r="D22" s="109" t="n">
        <v>-800</v>
      </c>
      <c r="E22" s="110" t="inlineStr">
        <is>
          <t>שיעורי נהיגה — כמה עוד נשארו לך לבחינה?</t>
        </is>
      </c>
      <c r="F22" s="2" t="n"/>
      <c r="G22" s="2" t="n"/>
      <c r="H22" s="2" t="n"/>
      <c r="I22" s="2" t="n"/>
      <c r="J22" s="2" t="n"/>
      <c r="K22" s="2" t="n"/>
      <c r="L22" s="2" t="n"/>
    </row>
    <row r="23" ht="22" customHeight="1">
      <c r="A23" s="68" t="inlineStr">
        <is>
          <t>💳 אחר</t>
        </is>
      </c>
      <c r="B23" s="70" t="n">
        <v>923</v>
      </c>
      <c r="C23" s="69" t="n">
        <v>150</v>
      </c>
      <c r="D23" s="109" t="n">
        <v>-773</v>
      </c>
      <c r="E23" s="111" t="inlineStr">
        <is>
          <t>⚠️ 923₪! בדוק מה היה שם ותכנן מראש</t>
        </is>
      </c>
      <c r="F23" s="2" t="n"/>
      <c r="G23" s="2" t="n"/>
      <c r="H23" s="2" t="n"/>
      <c r="I23" s="2" t="n"/>
      <c r="J23" s="2" t="n"/>
      <c r="K23" s="2" t="n"/>
      <c r="L23" s="2" t="n"/>
    </row>
    <row r="24" ht="30" customHeight="1">
      <c r="A24" s="115" t="inlineStr">
        <is>
          <t>סה"כ</t>
        </is>
      </c>
      <c r="B24" s="109" t="n">
        <v>5512</v>
      </c>
      <c r="C24" s="116" t="n">
        <v>3480</v>
      </c>
      <c r="D24" s="109" t="n">
        <v>-2032</v>
      </c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 ht="35" customHeight="1">
      <c r="A26" s="117" t="inlineStr">
        <is>
          <t>🎯  יעד חיסכון חודשי: 1,000₪  |  הוראת קבע אוטומטית ב-1 לחודש!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</sheetData>
  <mergeCells count="5">
    <mergeCell ref="A26:L26"/>
    <mergeCell ref="A10:L10"/>
    <mergeCell ref="A1:L1"/>
    <mergeCell ref="A24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2026-04-18T19:12:04Z</dcterms:created>
  <dcterms:modified xsi:type="dcterms:W3CDTF">2026-04-18T19:12:05Z</dcterms:modified>
</cp:coreProperties>
</file>